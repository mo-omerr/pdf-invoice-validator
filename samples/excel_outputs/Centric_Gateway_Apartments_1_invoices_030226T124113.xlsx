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" sheetId="2" state="visible" r:id="rId2"/>
    <sheet name="Invoice_0742-005330991" sheetId="3" state="visible" r:id="rId3"/>
    <sheet name="Invoice_0742-005306004" sheetId="4" state="visible" r:id="rId4"/>
    <sheet name="Invoice_0742-005292191" sheetId="5" state="visible" r:id="rId5"/>
    <sheet name="Invoice_0742-005279034" sheetId="6" state="visible" r:id="rId6"/>
    <sheet name="Invoice_0742-005253881" sheetId="7" state="visible" r:id="rId7"/>
    <sheet name="Invoice_0742-005241569" sheetId="8" state="visible" r:id="rId8"/>
    <sheet name="Invoice_0742-005228156" sheetId="9" state="visible" r:id="rId9"/>
    <sheet name="Invoice_0742-005203326" sheetId="10" state="visible" r:id="rId10"/>
    <sheet name="Invoice_0742-005190503" sheetId="11" state="visible" r:id="rId11"/>
    <sheet name="Invoice_0742-005176565" sheetId="12" state="visible" r:id="rId12"/>
    <sheet name="Invoice_0742-00515120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  <font>
      <b val="1"/>
      <sz val="2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4" fillId="2" borderId="1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Invoice Amounts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'Dashboard'!$A$13:$A$23</f>
            </numRef>
          </cat>
          <val>
            <numRef>
              <f>'Dashboard'!$B$13:$B$23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'Dashboard'!$E$13:$E$23</f>
            </numRef>
          </cat>
          <val>
            <numRef>
              <f>'Dashboard'!$B$13:$B$23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Cost Breakdown (Subtotal + Tax)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cat>
            <numRef>
              <f>'Dashboard'!$A$13:$A$23</f>
            </numRef>
          </cat>
          <val>
            <numRef>
              <f>'Dashboard'!$C$13:$C$23</f>
            </numRef>
          </val>
        </ser>
        <ser>
          <idx val="1"/>
          <order val="1"/>
          <tx>
            <strRef>
              <f>'Dashboard'!D12</f>
            </strRef>
          </tx>
          <spPr>
            <a:ln>
              <a:prstDash val="solid"/>
            </a:ln>
          </spPr>
          <cat>
            <numRef>
              <f>'Dashboard'!$A$13:$A$23</f>
            </numRef>
          </cat>
          <val>
            <numRef>
              <f>'Dashboard'!$D$13:$D$23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Amount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'Dashboard'!$E$13:$E$23</f>
            </numRef>
          </cat>
          <val>
            <numRef>
              <f>'Dashboard'!$B$13:$B$23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Amounts by 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cat>
            <numRef>
              <f>'Summary'!$B$12:$B$22</f>
            </numRef>
          </cat>
          <val>
            <numRef>
              <f>'Summary'!$E$12:$E$22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Subtotal vs Tax per Invoice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'Summary'!F11</f>
            </strRef>
          </tx>
          <spPr>
            <a:ln>
              <a:prstDash val="solid"/>
            </a:ln>
          </spPr>
          <cat>
            <numRef>
              <f>'Summary'!$A$12:$A$22</f>
            </numRef>
          </cat>
          <val>
            <numRef>
              <f>'Summary'!$F$12:$F$22</f>
            </numRef>
          </val>
        </ser>
        <ser>
          <idx val="1"/>
          <order val="1"/>
          <tx>
            <strRef>
              <f>'Summary'!G11</f>
            </strRef>
          </tx>
          <spPr>
            <a:ln>
              <a:prstDash val="solid"/>
            </a:ln>
          </spPr>
          <cat>
            <numRef>
              <f>'Summary'!$A$12:$A$22</f>
            </numRef>
          </cat>
          <val>
            <numRef>
              <f>'Summary'!$G$12:$G$22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'Summary'!$B$12:$B$22</f>
            </numRef>
          </cat>
          <val>
            <numRef>
              <f>'Summary'!$E$12:$E$22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'Summary'!$A$12:$A$22</f>
            </numRef>
          </cat>
          <val>
            <numRef>
              <f>'Summary'!$E$12:$E$22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36</row>
      <rowOff>0</rowOff>
    </from>
    <ext cx="50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INVOICE DASHBOARD</t>
        </is>
      </c>
    </row>
    <row r="3">
      <c r="A3" s="2" t="inlineStr">
        <is>
          <t>KEY METRICS</t>
        </is>
      </c>
    </row>
    <row r="5">
      <c r="A5" s="3" t="inlineStr">
        <is>
          <t>Total Invoices</t>
        </is>
      </c>
      <c r="B5" s="3" t="inlineStr">
        <is>
          <t>Total Amount</t>
        </is>
      </c>
      <c r="C5" s="3" t="inlineStr">
        <is>
          <t>Total Subtotal</t>
        </is>
      </c>
      <c r="D5" s="3" t="inlineStr">
        <is>
          <t>Total Tax</t>
        </is>
      </c>
    </row>
    <row r="6">
      <c r="A6" s="4" t="n">
        <v>11</v>
      </c>
      <c r="B6" s="4" t="inlineStr">
        <is>
          <t>$21,165.60</t>
        </is>
      </c>
      <c r="C6" s="4" t="inlineStr">
        <is>
          <t>$21,165.60</t>
        </is>
      </c>
      <c r="D6" s="4" t="inlineStr">
        <is>
          <t>$0.00</t>
        </is>
      </c>
    </row>
    <row r="8">
      <c r="A8" s="3" t="inlineStr">
        <is>
          <t>Average Invoice</t>
        </is>
      </c>
      <c r="B8" s="3" t="inlineStr">
        <is>
          <t>Highest Invoice</t>
        </is>
      </c>
      <c r="C8" s="3" t="inlineStr">
        <is>
          <t>Lowest Invoice</t>
        </is>
      </c>
      <c r="D8" s="3" t="inlineStr">
        <is>
          <t>Vendor</t>
        </is>
      </c>
    </row>
    <row r="9">
      <c r="A9" s="4" t="inlineStr">
        <is>
          <t>$1,924.15</t>
        </is>
      </c>
      <c r="B9" s="4" t="inlineStr">
        <is>
          <t>$2,682.85</t>
        </is>
      </c>
      <c r="C9" s="4" t="inlineStr">
        <is>
          <t>$1,676.76</t>
        </is>
      </c>
      <c r="D9" s="4" t="inlineStr">
        <is>
          <t>Republic Services</t>
        </is>
      </c>
    </row>
    <row r="12">
      <c r="A12" t="inlineStr">
        <is>
          <t>Date</t>
        </is>
      </c>
      <c r="B12" t="inlineStr">
        <is>
          <t>Amount</t>
        </is>
      </c>
      <c r="C12" t="inlineStr">
        <is>
          <t>Subtotal</t>
        </is>
      </c>
      <c r="D12" t="inlineStr">
        <is>
          <t>Tax</t>
        </is>
      </c>
      <c r="E12" t="inlineStr">
        <is>
          <t>Invoice #</t>
        </is>
      </c>
    </row>
    <row r="13">
      <c r="A13" t="inlineStr">
        <is>
          <t>10/15/2025</t>
        </is>
      </c>
      <c r="B13" t="n">
        <v>1873.46</v>
      </c>
      <c r="C13" t="n">
        <v>1873.46</v>
      </c>
      <c r="D13" t="n">
        <v>0</v>
      </c>
      <c r="E13" t="inlineStr">
        <is>
          <t>0742-005330991</t>
        </is>
      </c>
    </row>
    <row r="14">
      <c r="A14" t="inlineStr">
        <is>
          <t>09/15/2025</t>
        </is>
      </c>
      <c r="B14" t="n">
        <v>1698.36</v>
      </c>
      <c r="C14" t="n">
        <v>1698.36</v>
      </c>
      <c r="D14" t="n">
        <v>0</v>
      </c>
      <c r="E14" t="inlineStr">
        <is>
          <t>0742-005306004</t>
        </is>
      </c>
    </row>
    <row r="15">
      <c r="A15" t="inlineStr">
        <is>
          <t>08/15/2025</t>
        </is>
      </c>
      <c r="B15" t="n">
        <v>1698.36</v>
      </c>
      <c r="C15" t="n">
        <v>1698.36</v>
      </c>
      <c r="D15" t="n">
        <v>0</v>
      </c>
      <c r="E15" t="inlineStr">
        <is>
          <t>0742-005292191</t>
        </is>
      </c>
    </row>
    <row r="16">
      <c r="A16" t="inlineStr">
        <is>
          <t>07/15/2025</t>
        </is>
      </c>
      <c r="B16" t="n">
        <v>1698.36</v>
      </c>
      <c r="C16" t="n">
        <v>1698.36</v>
      </c>
      <c r="D16" t="n">
        <v>0</v>
      </c>
      <c r="E16" t="inlineStr">
        <is>
          <t>0742-005279034</t>
        </is>
      </c>
    </row>
    <row r="17">
      <c r="A17" t="inlineStr">
        <is>
          <t>06/15/2025</t>
        </is>
      </c>
      <c r="B17" t="n">
        <v>1935.96</v>
      </c>
      <c r="C17" t="n">
        <v>1935.96</v>
      </c>
      <c r="D17" t="n">
        <v>0</v>
      </c>
      <c r="E17" t="inlineStr">
        <is>
          <t>0742-005253881</t>
        </is>
      </c>
    </row>
    <row r="18">
      <c r="A18" t="inlineStr">
        <is>
          <t>05/15/2025</t>
        </is>
      </c>
      <c r="B18" t="n">
        <v>2043.21</v>
      </c>
      <c r="C18" t="n">
        <v>2043.21</v>
      </c>
      <c r="D18" t="n">
        <v>0</v>
      </c>
      <c r="E18" t="inlineStr">
        <is>
          <t>0742-005241569</t>
        </is>
      </c>
    </row>
    <row r="19">
      <c r="A19" t="inlineStr">
        <is>
          <t>04/15/2025</t>
        </is>
      </c>
      <c r="B19" t="n">
        <v>1856.76</v>
      </c>
      <c r="C19" t="n">
        <v>1856.76</v>
      </c>
      <c r="D19" t="n">
        <v>0</v>
      </c>
      <c r="E19" t="inlineStr">
        <is>
          <t>0742-005228156</t>
        </is>
      </c>
    </row>
    <row r="20">
      <c r="A20" t="inlineStr">
        <is>
          <t>03/15/2025</t>
        </is>
      </c>
      <c r="B20" t="n">
        <v>2015.16</v>
      </c>
      <c r="C20" t="n">
        <v>2015.16</v>
      </c>
      <c r="D20" t="n">
        <v>0</v>
      </c>
      <c r="E20" t="inlineStr">
        <is>
          <t>0742-005203326</t>
        </is>
      </c>
    </row>
    <row r="21">
      <c r="A21" t="inlineStr">
        <is>
          <t>02/15/2025</t>
        </is>
      </c>
      <c r="B21" t="n">
        <v>2682.85</v>
      </c>
      <c r="C21" t="n">
        <v>2682.85</v>
      </c>
      <c r="D21" t="n">
        <v>0</v>
      </c>
      <c r="E21" t="inlineStr">
        <is>
          <t>0742-005190503</t>
        </is>
      </c>
    </row>
    <row r="22">
      <c r="A22" t="inlineStr">
        <is>
          <t>01/15/2025</t>
        </is>
      </c>
      <c r="B22" t="n">
        <v>1986.36</v>
      </c>
      <c r="C22" t="n">
        <v>1986.36</v>
      </c>
      <c r="D22" t="n">
        <v>0</v>
      </c>
      <c r="E22" t="inlineStr">
        <is>
          <t>0742-005176565</t>
        </is>
      </c>
    </row>
    <row r="23">
      <c r="A23" t="inlineStr">
        <is>
          <t>12/15/2024</t>
        </is>
      </c>
      <c r="B23" t="n">
        <v>1676.76</v>
      </c>
      <c r="C23" t="n">
        <v>1676.76</v>
      </c>
      <c r="D23" t="n">
        <v>0</v>
      </c>
      <c r="E23" t="inlineStr">
        <is>
          <t>0742-005151209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Invoice Summary Report</t>
        </is>
      </c>
    </row>
    <row r="3">
      <c r="A3" s="6" t="inlineStr">
        <is>
          <t>Source PDF:</t>
        </is>
      </c>
      <c r="B3" t="inlineStr">
        <is>
          <t>Centric_Gateway_Apartments_1.pdf</t>
        </is>
      </c>
    </row>
    <row r="4">
      <c r="A4" s="6" t="inlineStr">
        <is>
          <t>Template Used:</t>
        </is>
      </c>
      <c r="B4" t="inlineStr">
        <is>
          <t>Republic Services</t>
        </is>
      </c>
    </row>
    <row r="5">
      <c r="A5" s="6" t="inlineStr">
        <is>
          <t>Template Created:</t>
        </is>
      </c>
      <c r="B5" t="inlineStr">
        <is>
          <t>Yes</t>
        </is>
      </c>
    </row>
    <row r="6">
      <c r="A6" s="6" t="inlineStr">
        <is>
          <t>Total Pages:</t>
        </is>
      </c>
      <c r="B6" t="n">
        <v>22</v>
      </c>
    </row>
    <row r="7">
      <c r="A7" s="6" t="inlineStr">
        <is>
          <t>Invoices Found:</t>
        </is>
      </c>
      <c r="B7" t="n">
        <v>11</v>
      </c>
    </row>
    <row r="8">
      <c r="A8" s="6" t="inlineStr">
        <is>
          <t>Valid Invoices:</t>
        </is>
      </c>
      <c r="B8" t="n">
        <v>11</v>
      </c>
    </row>
    <row r="9">
      <c r="A9" s="6" t="inlineStr">
        <is>
          <t>Invalid Invoices:</t>
        </is>
      </c>
      <c r="B9" t="n">
        <v>0</v>
      </c>
    </row>
    <row r="11">
      <c r="A11" s="7" t="inlineStr">
        <is>
          <t>Invoice #</t>
        </is>
      </c>
      <c r="B11" s="7" t="inlineStr">
        <is>
          <t>Date of Issue</t>
        </is>
      </c>
      <c r="C11" s="7" t="inlineStr">
        <is>
          <t>Due Date</t>
        </is>
      </c>
      <c r="D11" s="7" t="inlineStr">
        <is>
          <t>Billed To</t>
        </is>
      </c>
      <c r="E11" s="7" t="inlineStr">
        <is>
          <t>Amount Due</t>
        </is>
      </c>
      <c r="F11" s="7" t="inlineStr">
        <is>
          <t>Subtotal</t>
        </is>
      </c>
      <c r="G11" s="7" t="inlineStr">
        <is>
          <t>Tax</t>
        </is>
      </c>
      <c r="H11" s="7" t="inlineStr">
        <is>
          <t>Status</t>
        </is>
      </c>
    </row>
    <row r="12">
      <c r="A12" s="8" t="inlineStr">
        <is>
          <t>0742-005330991</t>
        </is>
      </c>
      <c r="B12" s="8" t="inlineStr">
        <is>
          <t>10/15/2025</t>
        </is>
      </c>
      <c r="C12" s="8" t="inlineStr">
        <is>
          <t>11/04/2025</t>
        </is>
      </c>
      <c r="D12" s="8" t="inlineStr">
        <is>
          <t>CENTRIC GATEWAY C/O CONSERVICE LLC</t>
        </is>
      </c>
      <c r="E12" s="9" t="n">
        <v>1873.46</v>
      </c>
      <c r="F12" s="9" t="n">
        <v>1873.46</v>
      </c>
      <c r="G12" s="9" t="n">
        <v>0</v>
      </c>
      <c r="H12" s="8" t="inlineStr">
        <is>
          <t>VALID</t>
        </is>
      </c>
    </row>
    <row r="13">
      <c r="A13" s="8" t="inlineStr">
        <is>
          <t>0742-005306004</t>
        </is>
      </c>
      <c r="B13" s="8" t="inlineStr">
        <is>
          <t>09/15/2025</t>
        </is>
      </c>
      <c r="C13" s="8" t="inlineStr">
        <is>
          <t>10/05/2025</t>
        </is>
      </c>
      <c r="D13" s="8" t="inlineStr">
        <is>
          <t>CENTRIC GATEWAY C/O CONSERVICE LLC</t>
        </is>
      </c>
      <c r="E13" s="9" t="n">
        <v>1698.36</v>
      </c>
      <c r="F13" s="9" t="n">
        <v>1698.36</v>
      </c>
      <c r="G13" s="9" t="n">
        <v>0</v>
      </c>
      <c r="H13" s="8" t="inlineStr">
        <is>
          <t>VALID</t>
        </is>
      </c>
    </row>
    <row r="14">
      <c r="A14" s="8" t="inlineStr">
        <is>
          <t>0742-005292191</t>
        </is>
      </c>
      <c r="B14" s="8" t="inlineStr">
        <is>
          <t>08/15/2025</t>
        </is>
      </c>
      <c r="C14" s="8" t="inlineStr">
        <is>
          <t>09/04/2025</t>
        </is>
      </c>
      <c r="D14" s="8" t="inlineStr">
        <is>
          <t>CENTRIC GATEWAY C/O CONSERVICE LLC</t>
        </is>
      </c>
      <c r="E14" s="9" t="n">
        <v>1698.36</v>
      </c>
      <c r="F14" s="9" t="n">
        <v>1698.36</v>
      </c>
      <c r="G14" s="9" t="n">
        <v>0</v>
      </c>
      <c r="H14" s="8" t="inlineStr">
        <is>
          <t>VALID</t>
        </is>
      </c>
    </row>
    <row r="15">
      <c r="A15" s="8" t="inlineStr">
        <is>
          <t>0742-005279034</t>
        </is>
      </c>
      <c r="B15" s="8" t="inlineStr">
        <is>
          <t>07/15/2025</t>
        </is>
      </c>
      <c r="C15" s="8" t="inlineStr">
        <is>
          <t>08/04/2025</t>
        </is>
      </c>
      <c r="D15" s="8" t="inlineStr">
        <is>
          <t>CENTRIC GATEWAY C/O CONSERVICE LLC</t>
        </is>
      </c>
      <c r="E15" s="9" t="n">
        <v>1698.36</v>
      </c>
      <c r="F15" s="9" t="n">
        <v>1698.36</v>
      </c>
      <c r="G15" s="9" t="n">
        <v>0</v>
      </c>
      <c r="H15" s="8" t="inlineStr">
        <is>
          <t>VALID</t>
        </is>
      </c>
    </row>
    <row r="16">
      <c r="A16" s="8" t="inlineStr">
        <is>
          <t>0742-005253881</t>
        </is>
      </c>
      <c r="B16" s="8" t="inlineStr">
        <is>
          <t>06/15/2025</t>
        </is>
      </c>
      <c r="C16" s="8" t="inlineStr">
        <is>
          <t>07/05/2025</t>
        </is>
      </c>
      <c r="D16" s="8" t="inlineStr">
        <is>
          <t>CENTRIC GATEWAY C/O CONSERVICE LLC</t>
        </is>
      </c>
      <c r="E16" s="9" t="n">
        <v>1935.96</v>
      </c>
      <c r="F16" s="9" t="n">
        <v>1935.96</v>
      </c>
      <c r="G16" s="9" t="n">
        <v>0</v>
      </c>
      <c r="H16" s="8" t="inlineStr">
        <is>
          <t>VALID</t>
        </is>
      </c>
    </row>
    <row r="17">
      <c r="A17" s="8" t="inlineStr">
        <is>
          <t>0742-005241569</t>
        </is>
      </c>
      <c r="B17" s="8" t="inlineStr">
        <is>
          <t>05/15/2025</t>
        </is>
      </c>
      <c r="C17" s="8" t="inlineStr">
        <is>
          <t>06/04/2025</t>
        </is>
      </c>
      <c r="D17" s="8" t="inlineStr">
        <is>
          <t>CENTRIC GATEWAY C/O CONSERVICE LLC</t>
        </is>
      </c>
      <c r="E17" s="9" t="n">
        <v>2043.21</v>
      </c>
      <c r="F17" s="9" t="n">
        <v>2043.21</v>
      </c>
      <c r="G17" s="9" t="n">
        <v>0</v>
      </c>
      <c r="H17" s="8" t="inlineStr">
        <is>
          <t>VALID</t>
        </is>
      </c>
    </row>
    <row r="18">
      <c r="A18" s="8" t="inlineStr">
        <is>
          <t>0742-005228156</t>
        </is>
      </c>
      <c r="B18" s="8" t="inlineStr">
        <is>
          <t>04/15/2025</t>
        </is>
      </c>
      <c r="C18" s="8" t="inlineStr">
        <is>
          <t>05/05/2025</t>
        </is>
      </c>
      <c r="D18" s="8" t="inlineStr">
        <is>
          <t>CENTRIC GATEWAY C/O CONSERVICE LLC</t>
        </is>
      </c>
      <c r="E18" s="9" t="n">
        <v>1856.76</v>
      </c>
      <c r="F18" s="9" t="n">
        <v>1856.76</v>
      </c>
      <c r="G18" s="9" t="n">
        <v>0</v>
      </c>
      <c r="H18" s="8" t="inlineStr">
        <is>
          <t>VALID</t>
        </is>
      </c>
    </row>
    <row r="19">
      <c r="A19" s="8" t="inlineStr">
        <is>
          <t>0742-005203326</t>
        </is>
      </c>
      <c r="B19" s="8" t="inlineStr">
        <is>
          <t>03/15/2025</t>
        </is>
      </c>
      <c r="C19" s="8" t="inlineStr">
        <is>
          <t>04/04/2025</t>
        </is>
      </c>
      <c r="D19" s="8" t="inlineStr">
        <is>
          <t>CENTRIC GATEWAY C/O CONSERVICE LLC</t>
        </is>
      </c>
      <c r="E19" s="9" t="n">
        <v>2015.16</v>
      </c>
      <c r="F19" s="9" t="n">
        <v>2015.16</v>
      </c>
      <c r="G19" s="9" t="n">
        <v>0</v>
      </c>
      <c r="H19" s="8" t="inlineStr">
        <is>
          <t>VALID</t>
        </is>
      </c>
    </row>
    <row r="20">
      <c r="A20" s="8" t="inlineStr">
        <is>
          <t>0742-005190503</t>
        </is>
      </c>
      <c r="B20" s="8" t="inlineStr">
        <is>
          <t>02/15/2025</t>
        </is>
      </c>
      <c r="C20" s="8" t="inlineStr">
        <is>
          <t>03/07/2025</t>
        </is>
      </c>
      <c r="D20" s="8" t="inlineStr">
        <is>
          <t>CENTRIC GATEWAY C/O CONSERVICE LLC</t>
        </is>
      </c>
      <c r="E20" s="9" t="n">
        <v>2682.85</v>
      </c>
      <c r="F20" s="9" t="n">
        <v>2682.85</v>
      </c>
      <c r="G20" s="9" t="n">
        <v>0</v>
      </c>
      <c r="H20" s="8" t="inlineStr">
        <is>
          <t>VALID</t>
        </is>
      </c>
    </row>
    <row r="21">
      <c r="A21" s="8" t="inlineStr">
        <is>
          <t>0742-005176565</t>
        </is>
      </c>
      <c r="B21" s="8" t="inlineStr">
        <is>
          <t>01/15/2025</t>
        </is>
      </c>
      <c r="C21" s="8" t="inlineStr">
        <is>
          <t>02/04/2025</t>
        </is>
      </c>
      <c r="D21" s="8" t="inlineStr">
        <is>
          <t>CENTRIC GATEWAY C/O CONSERVICE LLC</t>
        </is>
      </c>
      <c r="E21" s="9" t="n">
        <v>1986.36</v>
      </c>
      <c r="F21" s="9" t="n">
        <v>1986.36</v>
      </c>
      <c r="G21" s="9" t="n">
        <v>0</v>
      </c>
      <c r="H21" s="8" t="inlineStr">
        <is>
          <t>VALID</t>
        </is>
      </c>
    </row>
    <row r="22">
      <c r="A22" s="8" t="inlineStr">
        <is>
          <t>0742-005151209</t>
        </is>
      </c>
      <c r="B22" s="8" t="inlineStr">
        <is>
          <t>12/15/2024</t>
        </is>
      </c>
      <c r="C22" s="8" t="inlineStr">
        <is>
          <t>01/04/2025</t>
        </is>
      </c>
      <c r="D22" s="8" t="inlineStr">
        <is>
          <t>CENTRIC GATEWAY C/O CONSERVICE LLC</t>
        </is>
      </c>
      <c r="E22" s="9" t="n">
        <v>1676.76</v>
      </c>
      <c r="F22" s="9" t="n">
        <v>1676.76</v>
      </c>
      <c r="G22" s="9" t="n">
        <v>0</v>
      </c>
      <c r="H22" s="8" t="inlineStr">
        <is>
          <t>VALID</t>
        </is>
      </c>
    </row>
    <row r="23">
      <c r="D23" s="6" t="inlineStr">
        <is>
          <t>TOTALS:</t>
        </is>
      </c>
      <c r="E23" s="10" t="n">
        <v>21165.6</v>
      </c>
      <c r="F23" s="10" t="n">
        <v>21165.6</v>
      </c>
      <c r="G23" s="10" t="n">
        <v>0</v>
      </c>
    </row>
    <row r="26">
      <c r="A26" s="2" t="inlineStr">
        <is>
          <t>Invoice Amount Trend</t>
        </is>
      </c>
      <c r="J26" s="2" t="inlineStr">
        <is>
          <t>Subtotal vs Tax Breakdown</t>
        </is>
      </c>
    </row>
    <row r="48">
      <c r="A48" s="2" t="inlineStr">
        <is>
          <t>Amount Trend Over Time</t>
        </is>
      </c>
      <c r="J48" s="2" t="inlineStr">
        <is>
          <t>Cost Distribution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#0742-005330991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0742-005330991</t>
        </is>
      </c>
    </row>
    <row r="5">
      <c r="A5" s="6" t="inlineStr">
        <is>
          <t>Date of Issue</t>
        </is>
      </c>
      <c r="B5" t="inlineStr">
        <is>
          <t>10/15/2025</t>
        </is>
      </c>
    </row>
    <row r="6">
      <c r="A6" s="6" t="inlineStr">
        <is>
          <t>Due Date</t>
        </is>
      </c>
      <c r="B6" t="inlineStr">
        <is>
          <t>11/04/2025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10/06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Pickup Service 11/01-11/30</t>
        </is>
      </c>
      <c r="B16" s="9" t="n">
        <v>923.48</v>
      </c>
      <c r="C16" s="8" t="n">
        <v>1</v>
      </c>
      <c r="D16" s="9" t="n">
        <v>923.48</v>
      </c>
    </row>
    <row r="17">
      <c r="A17" s="8" t="inlineStr">
        <is>
          <t>5 Front Load 2 Yd Comp, On Call Service - Rental 11/01-11/30</t>
        </is>
      </c>
      <c r="B17" s="9" t="n">
        <v>870.78</v>
      </c>
      <c r="C17" s="8" t="n">
        <v>1</v>
      </c>
      <c r="D17" s="9" t="n">
        <v>870.78</v>
      </c>
    </row>
    <row r="19">
      <c r="A19" s="2" t="inlineStr">
        <is>
          <t>TOTALS</t>
        </is>
      </c>
    </row>
    <row r="20">
      <c r="A20" s="6" t="inlineStr">
        <is>
          <t>Subtotal</t>
        </is>
      </c>
      <c r="B20" s="12" t="n">
        <v>1873.46</v>
      </c>
    </row>
    <row r="21">
      <c r="A21" s="6" t="inlineStr">
        <is>
          <t>Tax</t>
        </is>
      </c>
      <c r="B21" s="12" t="n">
        <v>0</v>
      </c>
    </row>
    <row r="22">
      <c r="A22" s="6" t="inlineStr">
        <is>
          <t>Total</t>
        </is>
      </c>
      <c r="B22" s="12" t="n">
        <v>1873.46</v>
      </c>
    </row>
    <row r="23">
      <c r="A23" s="6" t="inlineStr">
        <is>
          <t>Amount Paid</t>
        </is>
      </c>
      <c r="B23" s="12" t="n">
        <v>1698.36</v>
      </c>
    </row>
    <row r="24">
      <c r="A24" s="6" t="inlineStr">
        <is>
          <t>Amount Due</t>
        </is>
      </c>
      <c r="B24" s="13" t="n">
        <v>1873.46</v>
      </c>
    </row>
    <row r="26">
      <c r="A26" s="2" t="inlineStr">
        <is>
          <t>VALIDATION STATUS</t>
        </is>
      </c>
    </row>
    <row r="27">
      <c r="A27" s="6" t="inlineStr">
        <is>
          <t>Status:</t>
        </is>
      </c>
      <c r="B27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#0742-005306004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0742-005306004</t>
        </is>
      </c>
    </row>
    <row r="5">
      <c r="A5" s="6" t="inlineStr">
        <is>
          <t>Date of Issue</t>
        </is>
      </c>
      <c r="B5" t="inlineStr">
        <is>
          <t>09/15/2025</t>
        </is>
      </c>
    </row>
    <row r="6">
      <c r="A6" s="6" t="inlineStr">
        <is>
          <t>Due Date</t>
        </is>
      </c>
      <c r="B6" t="inlineStr">
        <is>
          <t>10/05/2025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08/28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08/28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09/04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Pickup Service 10/01-10/31</t>
        </is>
      </c>
      <c r="B18" s="9" t="n">
        <v>738.78</v>
      </c>
      <c r="C18" s="8" t="n">
        <v>1</v>
      </c>
      <c r="D18" s="9" t="n">
        <v>738.78</v>
      </c>
    </row>
    <row r="19">
      <c r="A19" s="8" t="inlineStr">
        <is>
          <t>5 Front Load 2 Yd Comp, On Call Service - Rental 10/01-10/31</t>
        </is>
      </c>
      <c r="B19" s="9" t="n">
        <v>721.98</v>
      </c>
      <c r="C19" s="8" t="n">
        <v>1</v>
      </c>
      <c r="D19" s="9" t="n">
        <v>721.98</v>
      </c>
    </row>
    <row r="21">
      <c r="A21" s="2" t="inlineStr">
        <is>
          <t>TOTALS</t>
        </is>
      </c>
    </row>
    <row r="22">
      <c r="A22" s="6" t="inlineStr">
        <is>
          <t>Subtotal</t>
        </is>
      </c>
      <c r="B22" s="12" t="n">
        <v>1698.36</v>
      </c>
    </row>
    <row r="23">
      <c r="A23" s="6" t="inlineStr">
        <is>
          <t>Tax</t>
        </is>
      </c>
      <c r="B23" s="12" t="n">
        <v>0</v>
      </c>
    </row>
    <row r="24">
      <c r="A24" s="6" t="inlineStr">
        <is>
          <t>Total</t>
        </is>
      </c>
      <c r="B24" s="12" t="n">
        <v>1698.36</v>
      </c>
    </row>
    <row r="25">
      <c r="A25" s="6" t="inlineStr">
        <is>
          <t>Amount Paid</t>
        </is>
      </c>
      <c r="B25" s="12" t="n">
        <v>1698.36</v>
      </c>
    </row>
    <row r="26">
      <c r="A26" s="6" t="inlineStr">
        <is>
          <t>Amount Due</t>
        </is>
      </c>
      <c r="B26" s="13" t="n">
        <v>1698.36</v>
      </c>
    </row>
    <row r="28">
      <c r="A28" s="2" t="inlineStr">
        <is>
          <t>VALIDATION STATUS</t>
        </is>
      </c>
    </row>
    <row r="29">
      <c r="A29" s="6" t="inlineStr">
        <is>
          <t>Status:</t>
        </is>
      </c>
      <c r="B29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#0742-005292191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0742-005292191</t>
        </is>
      </c>
    </row>
    <row r="5">
      <c r="A5" s="6" t="inlineStr">
        <is>
          <t>Date of Issue</t>
        </is>
      </c>
      <c r="B5" t="inlineStr">
        <is>
          <t>08/15/2025</t>
        </is>
      </c>
    </row>
    <row r="6">
      <c r="A6" s="6" t="inlineStr">
        <is>
          <t>Due Date</t>
        </is>
      </c>
      <c r="B6" t="inlineStr">
        <is>
          <t>09/04/2025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08/07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08/11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08/14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Pickup Service 09/01-09/30</t>
        </is>
      </c>
      <c r="B18" s="9" t="n">
        <v>738.78</v>
      </c>
      <c r="C18" s="8" t="n">
        <v>1</v>
      </c>
      <c r="D18" s="9" t="n">
        <v>738.78</v>
      </c>
    </row>
    <row r="19">
      <c r="A19" s="8" t="inlineStr">
        <is>
          <t>5 Front Load 2 Yd Comp, On Call Service - Rental 09/01-09/30</t>
        </is>
      </c>
      <c r="B19" s="9" t="n">
        <v>721.98</v>
      </c>
      <c r="C19" s="8" t="n">
        <v>1</v>
      </c>
      <c r="D19" s="9" t="n">
        <v>721.98</v>
      </c>
    </row>
    <row r="21">
      <c r="A21" s="2" t="inlineStr">
        <is>
          <t>TOTALS</t>
        </is>
      </c>
    </row>
    <row r="22">
      <c r="A22" s="6" t="inlineStr">
        <is>
          <t>Subtotal</t>
        </is>
      </c>
      <c r="B22" s="12" t="n">
        <v>1698.36</v>
      </c>
    </row>
    <row r="23">
      <c r="A23" s="6" t="inlineStr">
        <is>
          <t>Tax</t>
        </is>
      </c>
      <c r="B23" s="12" t="n">
        <v>0</v>
      </c>
    </row>
    <row r="24">
      <c r="A24" s="6" t="inlineStr">
        <is>
          <t>Total</t>
        </is>
      </c>
      <c r="B24" s="12" t="n">
        <v>1698.36</v>
      </c>
    </row>
    <row r="25">
      <c r="A25" s="6" t="inlineStr">
        <is>
          <t>Amount Paid</t>
        </is>
      </c>
      <c r="B25" s="12" t="n">
        <v>1698.36</v>
      </c>
    </row>
    <row r="26">
      <c r="A26" s="6" t="inlineStr">
        <is>
          <t>Amount Due</t>
        </is>
      </c>
      <c r="B26" s="13" t="n">
        <v>1698.36</v>
      </c>
    </row>
    <row r="28">
      <c r="A28" s="2" t="inlineStr">
        <is>
          <t>VALIDATION STATUS</t>
        </is>
      </c>
    </row>
    <row r="29">
      <c r="A29" s="6" t="inlineStr">
        <is>
          <t>Status:</t>
        </is>
      </c>
      <c r="B29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#0742-005279034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0742-005279034</t>
        </is>
      </c>
    </row>
    <row r="5">
      <c r="A5" s="6" t="inlineStr">
        <is>
          <t>Date of Issue</t>
        </is>
      </c>
      <c r="B5" t="inlineStr">
        <is>
          <t>07/15/2025</t>
        </is>
      </c>
    </row>
    <row r="6">
      <c r="A6" s="6" t="inlineStr">
        <is>
          <t>Due Date</t>
        </is>
      </c>
      <c r="B6" t="inlineStr">
        <is>
          <t>08/04/2025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06/26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07/03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07/14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Pickup Service 08/01-08/31</t>
        </is>
      </c>
      <c r="B18" s="9" t="n">
        <v>738.78</v>
      </c>
      <c r="C18" s="8" t="n">
        <v>1</v>
      </c>
      <c r="D18" s="9" t="n">
        <v>738.78</v>
      </c>
    </row>
    <row r="19">
      <c r="A19" s="8" t="inlineStr">
        <is>
          <t>5 Front Load 2 Yd Comp, On Call Service - Rental 08/01-08/31</t>
        </is>
      </c>
      <c r="B19" s="9" t="n">
        <v>721.98</v>
      </c>
      <c r="C19" s="8" t="n">
        <v>1</v>
      </c>
      <c r="D19" s="9" t="n">
        <v>721.98</v>
      </c>
    </row>
    <row r="21">
      <c r="A21" s="2" t="inlineStr">
        <is>
          <t>TOTALS</t>
        </is>
      </c>
    </row>
    <row r="22">
      <c r="A22" s="6" t="inlineStr">
        <is>
          <t>Subtotal</t>
        </is>
      </c>
      <c r="B22" s="12" t="n">
        <v>1698.36</v>
      </c>
    </row>
    <row r="23">
      <c r="A23" s="6" t="inlineStr">
        <is>
          <t>Tax</t>
        </is>
      </c>
      <c r="B23" s="12" t="n">
        <v>0</v>
      </c>
    </row>
    <row r="24">
      <c r="A24" s="6" t="inlineStr">
        <is>
          <t>Total</t>
        </is>
      </c>
      <c r="B24" s="12" t="n">
        <v>1698.36</v>
      </c>
    </row>
    <row r="25">
      <c r="A25" s="6" t="inlineStr">
        <is>
          <t>Amount Paid</t>
        </is>
      </c>
      <c r="B25" s="12" t="n">
        <v>1935.96</v>
      </c>
    </row>
    <row r="26">
      <c r="A26" s="6" t="inlineStr">
        <is>
          <t>Amount Due</t>
        </is>
      </c>
      <c r="B26" s="13" t="n">
        <v>1698.36</v>
      </c>
    </row>
    <row r="28">
      <c r="A28" s="2" t="inlineStr">
        <is>
          <t>VALIDATION STATUS</t>
        </is>
      </c>
    </row>
    <row r="29">
      <c r="A29" s="6" t="inlineStr">
        <is>
          <t>Status:</t>
        </is>
      </c>
      <c r="B29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#0742-005253881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0742-005253881</t>
        </is>
      </c>
    </row>
    <row r="5">
      <c r="A5" s="6" t="inlineStr">
        <is>
          <t>Date of Issue</t>
        </is>
      </c>
      <c r="B5" t="inlineStr">
        <is>
          <t>06/15/2025</t>
        </is>
      </c>
    </row>
    <row r="6">
      <c r="A6" s="6" t="inlineStr">
        <is>
          <t>Due Date</t>
        </is>
      </c>
      <c r="B6" t="inlineStr">
        <is>
          <t>07/05/2025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05/22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05/26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05/29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3 Waste Container 2 Cu Yd, 6 Lifts Per Week - Waste/Recycling Overage 06/05</t>
        </is>
      </c>
      <c r="B18" s="9" t="n">
        <v>79.2</v>
      </c>
      <c r="C18" s="8" t="n">
        <v>1</v>
      </c>
      <c r="D18" s="9" t="n">
        <v>79.2</v>
      </c>
    </row>
    <row r="19">
      <c r="A19" s="8" t="inlineStr">
        <is>
          <t>3 Waste Container 2 Cu Yd, 6 Lifts Per Week - Waste/Recycling Overage 06/05</t>
        </is>
      </c>
      <c r="B19" s="9" t="n">
        <v>79.2</v>
      </c>
      <c r="C19" s="8" t="n">
        <v>1</v>
      </c>
      <c r="D19" s="9" t="n">
        <v>79.2</v>
      </c>
    </row>
    <row r="20">
      <c r="A20" s="8" t="inlineStr">
        <is>
          <t>3 Waste Container 2 Cu Yd, 6 Lifts Per Week - Waste/Recycling Overage 06/05</t>
        </is>
      </c>
      <c r="B20" s="9" t="n">
        <v>79.2</v>
      </c>
      <c r="C20" s="8" t="n">
        <v>1</v>
      </c>
      <c r="D20" s="9" t="n">
        <v>79.2</v>
      </c>
    </row>
    <row r="21">
      <c r="A21" s="8" t="inlineStr">
        <is>
          <t>Pickup Service 07/01-07/31</t>
        </is>
      </c>
      <c r="B21" s="9" t="n">
        <v>738.78</v>
      </c>
      <c r="C21" s="8" t="n">
        <v>1</v>
      </c>
      <c r="D21" s="9" t="n">
        <v>738.78</v>
      </c>
    </row>
    <row r="22">
      <c r="A22" s="8" t="inlineStr">
        <is>
          <t>5 Front Load 2 Yd Comp, On Call Service - Rental 07/01-07/31</t>
        </is>
      </c>
      <c r="B22" s="9" t="n">
        <v>721.98</v>
      </c>
      <c r="C22" s="8" t="n">
        <v>1</v>
      </c>
      <c r="D22" s="9" t="n">
        <v>721.98</v>
      </c>
    </row>
    <row r="24">
      <c r="A24" s="2" t="inlineStr">
        <is>
          <t>TOTALS</t>
        </is>
      </c>
    </row>
    <row r="25">
      <c r="A25" s="6" t="inlineStr">
        <is>
          <t>Subtotal</t>
        </is>
      </c>
      <c r="B25" s="12" t="n">
        <v>1935.96</v>
      </c>
    </row>
    <row r="26">
      <c r="A26" s="6" t="inlineStr">
        <is>
          <t>Tax</t>
        </is>
      </c>
      <c r="B26" s="12" t="n">
        <v>0</v>
      </c>
    </row>
    <row r="27">
      <c r="A27" s="6" t="inlineStr">
        <is>
          <t>Total</t>
        </is>
      </c>
      <c r="B27" s="12" t="n">
        <v>1935.96</v>
      </c>
    </row>
    <row r="28">
      <c r="A28" s="6" t="inlineStr">
        <is>
          <t>Amount Paid</t>
        </is>
      </c>
      <c r="B28" s="12" t="n">
        <v>2043.21</v>
      </c>
    </row>
    <row r="29">
      <c r="A29" s="6" t="inlineStr">
        <is>
          <t>Amount Due</t>
        </is>
      </c>
      <c r="B29" s="13" t="n">
        <v>1935.96</v>
      </c>
    </row>
    <row r="31">
      <c r="A31" s="2" t="inlineStr">
        <is>
          <t>VALIDATION STATUS</t>
        </is>
      </c>
    </row>
    <row r="32">
      <c r="A32" s="6" t="inlineStr">
        <is>
          <t>Status:</t>
        </is>
      </c>
      <c r="B32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#0742-005241569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0742-005241569</t>
        </is>
      </c>
    </row>
    <row r="5">
      <c r="A5" s="6" t="inlineStr">
        <is>
          <t>Date of Issue</t>
        </is>
      </c>
      <c r="B5" t="inlineStr">
        <is>
          <t>05/15/2025</t>
        </is>
      </c>
    </row>
    <row r="6">
      <c r="A6" s="6" t="inlineStr">
        <is>
          <t>Due Date</t>
        </is>
      </c>
      <c r="B6" t="inlineStr">
        <is>
          <t>06/04/2025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04/17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Non-Scheduled Service 04/21</t>
        </is>
      </c>
      <c r="B16" s="9" t="n">
        <v>265.65</v>
      </c>
      <c r="C16" s="8" t="n">
        <v>1</v>
      </c>
      <c r="D16" s="9" t="n">
        <v>265.65</v>
      </c>
    </row>
    <row r="17">
      <c r="A17" s="8" t="inlineStr">
        <is>
          <t>3 Waste Container 2 Cu Yd, 6 Lifts Per Week - Waste/Recycling Overage 05/05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3 Waste Container 2 Cu Yd, 6 Lifts Per Week - Waste/Recycling Overage 05/15</t>
        </is>
      </c>
      <c r="B18" s="9" t="n">
        <v>79.2</v>
      </c>
      <c r="C18" s="8" t="n">
        <v>1</v>
      </c>
      <c r="D18" s="9" t="n">
        <v>79.2</v>
      </c>
    </row>
    <row r="19">
      <c r="A19" s="8" t="inlineStr">
        <is>
          <t>3 Waste Container 2 Cu Yd, 6 Lifts Per Week - Waste/Recycling Overage 05/15</t>
        </is>
      </c>
      <c r="B19" s="9" t="n">
        <v>79.2</v>
      </c>
      <c r="C19" s="8" t="n">
        <v>1</v>
      </c>
      <c r="D19" s="9" t="n">
        <v>79.2</v>
      </c>
    </row>
    <row r="20">
      <c r="A20" s="8" t="inlineStr">
        <is>
          <t>Pickup Service 06/01-06/30</t>
        </is>
      </c>
      <c r="B20" s="9" t="n">
        <v>738.78</v>
      </c>
      <c r="C20" s="8" t="n">
        <v>1</v>
      </c>
      <c r="D20" s="9" t="n">
        <v>738.78</v>
      </c>
    </row>
    <row r="21">
      <c r="A21" s="8" t="inlineStr">
        <is>
          <t>5 Front Load 2 Yd Comp, On Call Service - Rental 06/01-06/30</t>
        </is>
      </c>
      <c r="B21" s="9" t="n">
        <v>721.98</v>
      </c>
      <c r="C21" s="8" t="n">
        <v>1</v>
      </c>
      <c r="D21" s="9" t="n">
        <v>721.98</v>
      </c>
    </row>
    <row r="23">
      <c r="A23" s="2" t="inlineStr">
        <is>
          <t>TOTALS</t>
        </is>
      </c>
    </row>
    <row r="24">
      <c r="A24" s="6" t="inlineStr">
        <is>
          <t>Subtotal</t>
        </is>
      </c>
      <c r="B24" s="12" t="n">
        <v>2043.21</v>
      </c>
    </row>
    <row r="25">
      <c r="A25" s="6" t="inlineStr">
        <is>
          <t>Tax</t>
        </is>
      </c>
      <c r="B25" s="12" t="n">
        <v>0</v>
      </c>
    </row>
    <row r="26">
      <c r="A26" s="6" t="inlineStr">
        <is>
          <t>Total</t>
        </is>
      </c>
      <c r="B26" s="12" t="n">
        <v>2043.21</v>
      </c>
    </row>
    <row r="27">
      <c r="A27" s="6" t="inlineStr">
        <is>
          <t>Amount Paid</t>
        </is>
      </c>
      <c r="B27" s="12" t="n">
        <v>1856.76</v>
      </c>
    </row>
    <row r="28">
      <c r="A28" s="6" t="inlineStr">
        <is>
          <t>Amount Due</t>
        </is>
      </c>
      <c r="B28" s="13" t="n">
        <v>2043.21</v>
      </c>
    </row>
    <row r="30">
      <c r="A30" s="2" t="inlineStr">
        <is>
          <t>VALIDATION STATUS</t>
        </is>
      </c>
    </row>
    <row r="31">
      <c r="A31" s="6" t="inlineStr">
        <is>
          <t>Status:</t>
        </is>
      </c>
      <c r="B31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#0742-005228156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0742-005228156</t>
        </is>
      </c>
    </row>
    <row r="5">
      <c r="A5" s="6" t="inlineStr">
        <is>
          <t>Date of Issue</t>
        </is>
      </c>
      <c r="B5" t="inlineStr">
        <is>
          <t>04/15/2025</t>
        </is>
      </c>
    </row>
    <row r="6">
      <c r="A6" s="6" t="inlineStr">
        <is>
          <t>Due Date</t>
        </is>
      </c>
      <c r="B6" t="inlineStr">
        <is>
          <t>05/05/2025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03/27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03/27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03/31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3 Waste Container 2 Cu Yd, 6 Lifts Per Week - Waste/Recycling Overage 04/03</t>
        </is>
      </c>
      <c r="B18" s="9" t="n">
        <v>79.2</v>
      </c>
      <c r="C18" s="8" t="n">
        <v>1</v>
      </c>
      <c r="D18" s="9" t="n">
        <v>79.2</v>
      </c>
    </row>
    <row r="19">
      <c r="A19" s="8" t="inlineStr">
        <is>
          <t>3 Waste Container 2 Cu Yd, 6 Lifts Per Week - Waste/Recycling Overage 04/07</t>
        </is>
      </c>
      <c r="B19" s="9" t="n">
        <v>79.2</v>
      </c>
      <c r="C19" s="8" t="n">
        <v>1</v>
      </c>
      <c r="D19" s="9" t="n">
        <v>79.2</v>
      </c>
    </row>
    <row r="20">
      <c r="A20" s="8" t="inlineStr">
        <is>
          <t>Pickup Service 05/01-05/31</t>
        </is>
      </c>
      <c r="B20" s="9" t="n">
        <v>738.78</v>
      </c>
      <c r="C20" s="8" t="n">
        <v>1</v>
      </c>
      <c r="D20" s="9" t="n">
        <v>738.78</v>
      </c>
    </row>
    <row r="21">
      <c r="A21" s="8" t="inlineStr">
        <is>
          <t>5 Front Load 2 Yd Comp, On Call Service - Rental 05/01-05/31</t>
        </is>
      </c>
      <c r="B21" s="9" t="n">
        <v>721.98</v>
      </c>
      <c r="C21" s="8" t="n">
        <v>1</v>
      </c>
      <c r="D21" s="9" t="n">
        <v>721.98</v>
      </c>
    </row>
    <row r="23">
      <c r="A23" s="2" t="inlineStr">
        <is>
          <t>TOTALS</t>
        </is>
      </c>
    </row>
    <row r="24">
      <c r="A24" s="6" t="inlineStr">
        <is>
          <t>Subtotal</t>
        </is>
      </c>
      <c r="B24" s="12" t="n">
        <v>1856.76</v>
      </c>
    </row>
    <row r="25">
      <c r="A25" s="6" t="inlineStr">
        <is>
          <t>Tax</t>
        </is>
      </c>
      <c r="B25" s="12" t="n">
        <v>0</v>
      </c>
    </row>
    <row r="26">
      <c r="A26" s="6" t="inlineStr">
        <is>
          <t>Total</t>
        </is>
      </c>
      <c r="B26" s="12" t="n">
        <v>1856.76</v>
      </c>
    </row>
    <row r="27">
      <c r="A27" s="6" t="inlineStr">
        <is>
          <t>Amount Paid</t>
        </is>
      </c>
      <c r="B27" s="12" t="n">
        <v>2015.16</v>
      </c>
    </row>
    <row r="28">
      <c r="A28" s="6" t="inlineStr">
        <is>
          <t>Amount Due</t>
        </is>
      </c>
      <c r="B28" s="13" t="n">
        <v>1856.76</v>
      </c>
    </row>
    <row r="30">
      <c r="A30" s="2" t="inlineStr">
        <is>
          <t>VALIDATION STATUS</t>
        </is>
      </c>
    </row>
    <row r="31">
      <c r="A31" s="6" t="inlineStr">
        <is>
          <t>Status:</t>
        </is>
      </c>
      <c r="B31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#0742-005203326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0742-005203326</t>
        </is>
      </c>
    </row>
    <row r="5">
      <c r="A5" s="6" t="inlineStr">
        <is>
          <t>Date of Issue</t>
        </is>
      </c>
      <c r="B5" t="inlineStr">
        <is>
          <t>03/15/2025</t>
        </is>
      </c>
    </row>
    <row r="6">
      <c r="A6" s="6" t="inlineStr">
        <is>
          <t>Due Date</t>
        </is>
      </c>
      <c r="B6" t="inlineStr">
        <is>
          <t>04/04/2025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02/17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02/17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02/20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3 Waste Container 2 Cu Yd, 6 Lifts Per Week - Waste/Recycling Overage 03/03</t>
        </is>
      </c>
      <c r="B18" s="9" t="n">
        <v>79.2</v>
      </c>
      <c r="C18" s="8" t="n">
        <v>1</v>
      </c>
      <c r="D18" s="9" t="n">
        <v>79.2</v>
      </c>
    </row>
    <row r="19">
      <c r="A19" s="8" t="inlineStr">
        <is>
          <t>3 Waste Container 2 Cu Yd, 6 Lifts Per Week - Waste/Recycling Overage 03/03</t>
        </is>
      </c>
      <c r="B19" s="9" t="n">
        <v>79.2</v>
      </c>
      <c r="C19" s="8" t="n">
        <v>1</v>
      </c>
      <c r="D19" s="9" t="n">
        <v>79.2</v>
      </c>
    </row>
    <row r="20">
      <c r="A20" s="8" t="inlineStr">
        <is>
          <t>3 Waste Container 2 Cu Yd, 6 Lifts Per Week - Waste/Recycling Overage 03/10</t>
        </is>
      </c>
      <c r="B20" s="9" t="n">
        <v>79.2</v>
      </c>
      <c r="C20" s="8" t="n">
        <v>1</v>
      </c>
      <c r="D20" s="9" t="n">
        <v>79.2</v>
      </c>
    </row>
    <row r="21">
      <c r="A21" s="8" t="inlineStr">
        <is>
          <t>3 Waste Container 2 Cu Yd, 6 Lifts Per Week - Waste/Recycling Overage 03/13</t>
        </is>
      </c>
      <c r="B21" s="9" t="n">
        <v>79.2</v>
      </c>
      <c r="C21" s="8" t="n">
        <v>1</v>
      </c>
      <c r="D21" s="9" t="n">
        <v>79.2</v>
      </c>
    </row>
    <row r="22">
      <c r="A22" s="8" t="inlineStr">
        <is>
          <t>Pickup Service 04/01-04/30</t>
        </is>
      </c>
      <c r="B22" s="9" t="n">
        <v>738.78</v>
      </c>
      <c r="C22" s="8" t="n">
        <v>1</v>
      </c>
      <c r="D22" s="9" t="n">
        <v>738.78</v>
      </c>
    </row>
    <row r="23">
      <c r="A23" s="8" t="inlineStr">
        <is>
          <t>5 Front Load 2 Yd Comp, On Call Service - Rental 04/01-04/30</t>
        </is>
      </c>
      <c r="B23" s="9" t="n">
        <v>721.98</v>
      </c>
      <c r="C23" s="8" t="n">
        <v>1</v>
      </c>
      <c r="D23" s="9" t="n">
        <v>721.98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2015.16</v>
      </c>
    </row>
    <row r="27">
      <c r="A27" s="6" t="inlineStr">
        <is>
          <t>Tax</t>
        </is>
      </c>
      <c r="B27" s="12" t="n">
        <v>0</v>
      </c>
    </row>
    <row r="28">
      <c r="A28" s="6" t="inlineStr">
        <is>
          <t>Total</t>
        </is>
      </c>
      <c r="B28" s="12" t="n">
        <v>2015.16</v>
      </c>
    </row>
    <row r="29">
      <c r="A29" s="6" t="inlineStr">
        <is>
          <t>Amount Paid</t>
        </is>
      </c>
      <c r="B29" s="12" t="n">
        <v>2682.85</v>
      </c>
    </row>
    <row r="30">
      <c r="A30" s="6" t="inlineStr">
        <is>
          <t>Amount Due</t>
        </is>
      </c>
      <c r="B30" s="13" t="n">
        <v>2015.16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#0742-005190503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0742-005190503</t>
        </is>
      </c>
    </row>
    <row r="5">
      <c r="A5" s="6" t="inlineStr">
        <is>
          <t>Date of Issue</t>
        </is>
      </c>
      <c r="B5" t="inlineStr">
        <is>
          <t>02/15/2025</t>
        </is>
      </c>
    </row>
    <row r="6">
      <c r="A6" s="6" t="inlineStr">
        <is>
          <t>Due Date</t>
        </is>
      </c>
      <c r="B6" t="inlineStr">
        <is>
          <t>03/07/2025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01/16</t>
        </is>
      </c>
      <c r="B15" s="9" t="n">
        <v>79.2</v>
      </c>
      <c r="C15" s="8" t="n">
        <v>1</v>
      </c>
      <c r="D15" s="9" t="n">
        <v>79.2</v>
      </c>
    </row>
    <row r="16">
      <c r="A16" s="8" t="inlineStr">
        <is>
          <t>3 Waste Container 2 Cu Yd, 6 Lifts Per Week - Waste/Recycling Overage 01/16</t>
        </is>
      </c>
      <c r="B16" s="9" t="n">
        <v>79.2</v>
      </c>
      <c r="C16" s="8" t="n">
        <v>1</v>
      </c>
      <c r="D16" s="9" t="n">
        <v>79.2</v>
      </c>
    </row>
    <row r="17">
      <c r="A17" s="8" t="inlineStr">
        <is>
          <t>3 Waste Container 2 Cu Yd, 6 Lifts Per Week - Waste/Recycling Overage 01/20</t>
        </is>
      </c>
      <c r="B17" s="9" t="n">
        <v>79.2</v>
      </c>
      <c r="C17" s="8" t="n">
        <v>1</v>
      </c>
      <c r="D17" s="9" t="n">
        <v>79.2</v>
      </c>
    </row>
    <row r="18">
      <c r="A18" s="8" t="inlineStr">
        <is>
          <t>Pickup Service 03/01-03/31</t>
        </is>
      </c>
      <c r="B18" s="9" t="n">
        <v>738.78</v>
      </c>
      <c r="C18" s="8" t="n">
        <v>1</v>
      </c>
      <c r="D18" s="9" t="n">
        <v>738.78</v>
      </c>
    </row>
    <row r="19">
      <c r="A19" s="8" t="inlineStr">
        <is>
          <t>5 Front Load 2 Yd Comp, On Call Service - Rental 03/01-03/31</t>
        </is>
      </c>
      <c r="B19" s="9" t="n">
        <v>721.98</v>
      </c>
      <c r="C19" s="8" t="n">
        <v>1</v>
      </c>
      <c r="D19" s="9" t="n">
        <v>721.98</v>
      </c>
    </row>
    <row r="20">
      <c r="A20" s="8" t="inlineStr">
        <is>
          <t>Centric Gateway-20yd Temp 1010 W Trade St CSA A911914203 Charlotte, NC - 1 Waste Container 20 Cu Yd, On Call Service Container Delivery 01/29</t>
        </is>
      </c>
      <c r="B20" s="9" t="n">
        <v>137.5</v>
      </c>
      <c r="C20" s="8" t="n">
        <v>1</v>
      </c>
      <c r="D20" s="9" t="n">
        <v>137.5</v>
      </c>
    </row>
    <row r="21">
      <c r="A21" s="8" t="inlineStr">
        <is>
          <t>Delivery Discount 01/29</t>
        </is>
      </c>
      <c r="B21" s="9" t="n">
        <v>-43.75</v>
      </c>
      <c r="C21" s="8" t="n">
        <v>1</v>
      </c>
      <c r="D21" s="9" t="n">
        <v>-43.75</v>
      </c>
    </row>
    <row r="22">
      <c r="A22" s="8" t="inlineStr">
        <is>
          <t>Disposal/Recycling 01/31</t>
        </is>
      </c>
      <c r="B22" s="9" t="n">
        <v>83.56999999999999</v>
      </c>
      <c r="C22" s="8" t="n">
        <v>0.96</v>
      </c>
      <c r="D22" s="9" t="n">
        <v>83.56999999999999</v>
      </c>
    </row>
    <row r="23">
      <c r="A23" s="8" t="inlineStr">
        <is>
          <t>Pickup Service 01/31</t>
        </is>
      </c>
      <c r="B23" s="9" t="n">
        <v>384</v>
      </c>
      <c r="C23" s="8" t="n">
        <v>1</v>
      </c>
      <c r="D23" s="9" t="n">
        <v>384</v>
      </c>
    </row>
    <row r="24">
      <c r="A24" s="8" t="inlineStr">
        <is>
          <t>Disposal/Recycling 02/06</t>
        </is>
      </c>
      <c r="B24" s="9" t="n">
        <v>-39.17</v>
      </c>
      <c r="C24" s="8" t="n">
        <v>0.45</v>
      </c>
      <c r="D24" s="9" t="n">
        <v>-39.17</v>
      </c>
    </row>
    <row r="25">
      <c r="A25" s="8" t="inlineStr">
        <is>
          <t>Pickup Service 02/06</t>
        </is>
      </c>
      <c r="B25" s="9" t="n">
        <v>384</v>
      </c>
      <c r="C25" s="8" t="n">
        <v>1</v>
      </c>
      <c r="D25" s="9" t="n">
        <v>384</v>
      </c>
    </row>
    <row r="27">
      <c r="A27" s="2" t="inlineStr">
        <is>
          <t>DISCOUNTS</t>
        </is>
      </c>
    </row>
    <row r="28">
      <c r="A28" s="11" t="inlineStr">
        <is>
          <t>Discount Name</t>
        </is>
      </c>
      <c r="B28" s="11" t="inlineStr">
        <is>
          <t>Amount</t>
        </is>
      </c>
    </row>
    <row r="29">
      <c r="A29" s="8" t="inlineStr">
        <is>
          <t>Delivery Discount 01/29</t>
        </is>
      </c>
      <c r="B29" s="9" t="n">
        <v>43.75</v>
      </c>
    </row>
    <row r="31">
      <c r="A31" s="2" t="inlineStr">
        <is>
          <t>TOTALS</t>
        </is>
      </c>
    </row>
    <row r="32">
      <c r="A32" s="6" t="inlineStr">
        <is>
          <t>Subtotal</t>
        </is>
      </c>
      <c r="B32" s="12" t="n">
        <v>2682.85</v>
      </c>
    </row>
    <row r="33">
      <c r="A33" s="6" t="inlineStr">
        <is>
          <t>Tax</t>
        </is>
      </c>
      <c r="B33" s="12" t="n">
        <v>0</v>
      </c>
    </row>
    <row r="34">
      <c r="A34" s="6" t="inlineStr">
        <is>
          <t>Total</t>
        </is>
      </c>
      <c r="B34" s="12" t="n">
        <v>2682.85</v>
      </c>
    </row>
    <row r="35">
      <c r="A35" s="6" t="inlineStr">
        <is>
          <t>Amount Paid</t>
        </is>
      </c>
      <c r="B35" s="12" t="n">
        <v>1986.36</v>
      </c>
    </row>
    <row r="36">
      <c r="A36" s="6" t="inlineStr">
        <is>
          <t>Amount Due</t>
        </is>
      </c>
      <c r="B36" s="13" t="n">
        <v>2682.85</v>
      </c>
    </row>
    <row r="38">
      <c r="A38" s="2" t="inlineStr">
        <is>
          <t>VALIDATION STATUS</t>
        </is>
      </c>
    </row>
    <row r="39">
      <c r="A39" s="6" t="inlineStr">
        <is>
          <t>Status:</t>
        </is>
      </c>
      <c r="B39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#0742-005176565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0742-005176565</t>
        </is>
      </c>
    </row>
    <row r="5">
      <c r="A5" s="6" t="inlineStr">
        <is>
          <t>Date of Issue</t>
        </is>
      </c>
      <c r="B5" t="inlineStr">
        <is>
          <t>01/15/2025</t>
        </is>
      </c>
    </row>
    <row r="6">
      <c r="A6" s="6" t="inlineStr">
        <is>
          <t>Due Date</t>
        </is>
      </c>
      <c r="B6" t="inlineStr">
        <is>
          <t>02/04/2025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12/23</t>
        </is>
      </c>
      <c r="B15" s="9" t="n">
        <v>72</v>
      </c>
      <c r="C15" s="8" t="n">
        <v>1</v>
      </c>
      <c r="D15" s="9" t="n">
        <v>72</v>
      </c>
    </row>
    <row r="16">
      <c r="A16" s="8" t="inlineStr">
        <is>
          <t>3 Waste Container 2 Cu Yd, 6 Lifts Per Week - Waste/Recycling Overage 12/23</t>
        </is>
      </c>
      <c r="B16" s="9" t="n">
        <v>72</v>
      </c>
      <c r="C16" s="8" t="n">
        <v>1</v>
      </c>
      <c r="D16" s="9" t="n">
        <v>72</v>
      </c>
    </row>
    <row r="17">
      <c r="A17" s="8" t="inlineStr">
        <is>
          <t>3 Waste Container 2 Cu Yd, 6 Lifts Per Week - Waste/Recycling Overage 12/27</t>
        </is>
      </c>
      <c r="B17" s="9" t="n">
        <v>72</v>
      </c>
      <c r="C17" s="8" t="n">
        <v>1</v>
      </c>
      <c r="D17" s="9" t="n">
        <v>72</v>
      </c>
    </row>
    <row r="18">
      <c r="A18" s="8" t="inlineStr">
        <is>
          <t>3 Waste Container 2 Cu Yd, 6 Lifts Per Week - Waste/Recycling Overage 12/30</t>
        </is>
      </c>
      <c r="B18" s="9" t="n">
        <v>72</v>
      </c>
      <c r="C18" s="8" t="n">
        <v>1</v>
      </c>
      <c r="D18" s="9" t="n">
        <v>72</v>
      </c>
    </row>
    <row r="19">
      <c r="A19" s="8" t="inlineStr">
        <is>
          <t>3 Waste Container 2 Cu Yd, 6 Lifts Per Week - Waste/Recycling Overage 01/02</t>
        </is>
      </c>
      <c r="B19" s="9" t="n">
        <v>79.2</v>
      </c>
      <c r="C19" s="8" t="n">
        <v>1</v>
      </c>
      <c r="D19" s="9" t="n">
        <v>79.2</v>
      </c>
    </row>
    <row r="20">
      <c r="A20" s="8" t="inlineStr">
        <is>
          <t>3 Waste Container 2 Cu Yd, 6 Lifts Per Week - Waste/Recycling Overage 01/09</t>
        </is>
      </c>
      <c r="B20" s="9" t="n">
        <v>79.2</v>
      </c>
      <c r="C20" s="8" t="n">
        <v>1</v>
      </c>
      <c r="D20" s="9" t="n">
        <v>79.2</v>
      </c>
    </row>
    <row r="21">
      <c r="A21" s="8" t="inlineStr">
        <is>
          <t>3 Waste Container 2 Cu Yd, 6 Lifts Per Week - Waste/Recycling Overage 01/13</t>
        </is>
      </c>
      <c r="B21" s="9" t="n">
        <v>79.2</v>
      </c>
      <c r="C21" s="8" t="n">
        <v>1</v>
      </c>
      <c r="D21" s="9" t="n">
        <v>79.2</v>
      </c>
    </row>
    <row r="22">
      <c r="A22" s="8" t="inlineStr">
        <is>
          <t>Pickup Service 02/01-02/28</t>
        </is>
      </c>
      <c r="B22" s="9" t="n">
        <v>738.78</v>
      </c>
      <c r="C22" s="8" t="n">
        <v>1</v>
      </c>
      <c r="D22" s="9" t="n">
        <v>738.78</v>
      </c>
    </row>
    <row r="23">
      <c r="A23" s="8" t="inlineStr">
        <is>
          <t>5 Front Load 2 Yd Comp, On Call Service - Rental 02/01-02/28</t>
        </is>
      </c>
      <c r="B23" s="9" t="n">
        <v>721.98</v>
      </c>
      <c r="C23" s="8" t="n">
        <v>1</v>
      </c>
      <c r="D23" s="9" t="n">
        <v>721.98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1986.36</v>
      </c>
    </row>
    <row r="27">
      <c r="A27" s="6" t="inlineStr">
        <is>
          <t>Tax</t>
        </is>
      </c>
      <c r="B27" s="12" t="n">
        <v>0</v>
      </c>
    </row>
    <row r="28">
      <c r="A28" s="6" t="inlineStr">
        <is>
          <t>Total</t>
        </is>
      </c>
      <c r="B28" s="12" t="n">
        <v>1986.36</v>
      </c>
    </row>
    <row r="29">
      <c r="A29" s="6" t="inlineStr">
        <is>
          <t>Amount Paid</t>
        </is>
      </c>
      <c r="B29" s="12" t="n">
        <v>1676.76</v>
      </c>
    </row>
    <row r="30">
      <c r="A30" s="6" t="inlineStr">
        <is>
          <t>Amount Due</t>
        </is>
      </c>
      <c r="B30" s="13" t="n">
        <v>1986.36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#0742-005151209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0742-005151209</t>
        </is>
      </c>
    </row>
    <row r="5">
      <c r="A5" s="6" t="inlineStr">
        <is>
          <t>Date of Issue</t>
        </is>
      </c>
      <c r="B5" t="inlineStr">
        <is>
          <t>12/15/2024</t>
        </is>
      </c>
    </row>
    <row r="6">
      <c r="A6" s="6" t="inlineStr">
        <is>
          <t>Due Date</t>
        </is>
      </c>
      <c r="B6" t="inlineStr">
        <is>
          <t>01/04/2025</t>
        </is>
      </c>
    </row>
    <row r="7">
      <c r="A7" s="6" t="inlineStr">
        <is>
          <t>Billed To</t>
        </is>
      </c>
      <c r="B7" t="inlineStr">
        <is>
          <t>CENTRIC GATEWAY C/O CONSERVICE LLC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PO BOX 4697, LOGAN UT 84323-4697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 Waste Container 2 Cu Yd, 6 Lifts Per Week - Waste/Recycling Overage 11/18</t>
        </is>
      </c>
      <c r="B15" s="9" t="n">
        <v>72</v>
      </c>
      <c r="C15" s="8" t="n">
        <v>1</v>
      </c>
      <c r="D15" s="9" t="n">
        <v>72</v>
      </c>
    </row>
    <row r="16">
      <c r="A16" s="8" t="inlineStr">
        <is>
          <t>3 Waste Container 2 Cu Yd, 6 Lifts Per Week - Waste/Recycling Overage 11/21</t>
        </is>
      </c>
      <c r="B16" s="9" t="n">
        <v>72</v>
      </c>
      <c r="C16" s="8" t="n">
        <v>1</v>
      </c>
      <c r="D16" s="9" t="n">
        <v>72</v>
      </c>
    </row>
    <row r="17">
      <c r="A17" s="8" t="inlineStr">
        <is>
          <t>3 Waste Container 2 Cu Yd, 6 Lifts Per Week - Waste/Recycling Overage 12/02</t>
        </is>
      </c>
      <c r="B17" s="9" t="n">
        <v>72</v>
      </c>
      <c r="C17" s="8" t="n">
        <v>1</v>
      </c>
      <c r="D17" s="9" t="n">
        <v>72</v>
      </c>
    </row>
    <row r="18">
      <c r="A18" s="8" t="inlineStr">
        <is>
          <t>Pickup Service 01/01-01/31</t>
        </is>
      </c>
      <c r="B18" s="9" t="n">
        <v>738.78</v>
      </c>
      <c r="C18" s="8" t="n">
        <v>1</v>
      </c>
      <c r="D18" s="9" t="n">
        <v>738.78</v>
      </c>
    </row>
    <row r="19">
      <c r="A19" s="8" t="inlineStr">
        <is>
          <t>5 Front Load 2 Yd Comp, On Call Service - Rental 01/01-01/31</t>
        </is>
      </c>
      <c r="B19" s="9" t="n">
        <v>721.98</v>
      </c>
      <c r="C19" s="8" t="n">
        <v>1</v>
      </c>
      <c r="D19" s="9" t="n">
        <v>721.98</v>
      </c>
    </row>
    <row r="21">
      <c r="A21" s="2" t="inlineStr">
        <is>
          <t>TOTALS</t>
        </is>
      </c>
    </row>
    <row r="22">
      <c r="A22" s="6" t="inlineStr">
        <is>
          <t>Subtotal</t>
        </is>
      </c>
      <c r="B22" s="12" t="n">
        <v>1676.76</v>
      </c>
    </row>
    <row r="23">
      <c r="A23" s="6" t="inlineStr">
        <is>
          <t>Tax</t>
        </is>
      </c>
      <c r="B23" s="12" t="n">
        <v>0</v>
      </c>
    </row>
    <row r="24">
      <c r="A24" s="6" t="inlineStr">
        <is>
          <t>Total</t>
        </is>
      </c>
      <c r="B24" s="12" t="n">
        <v>1676.76</v>
      </c>
    </row>
    <row r="25">
      <c r="A25" s="6" t="inlineStr">
        <is>
          <t>Amount Paid</t>
        </is>
      </c>
      <c r="B25" s="12" t="n">
        <v>1361.3</v>
      </c>
    </row>
    <row r="26">
      <c r="A26" s="6" t="inlineStr">
        <is>
          <t>Amount Due</t>
        </is>
      </c>
      <c r="B26" s="13" t="n">
        <v>1676.76</v>
      </c>
    </row>
    <row r="28">
      <c r="A28" s="2" t="inlineStr">
        <is>
          <t>VALIDATION STATUS</t>
        </is>
      </c>
    </row>
    <row r="29">
      <c r="A29" s="6" t="inlineStr">
        <is>
          <t>Status:</t>
        </is>
      </c>
      <c r="B29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2026-02-03T07:11:13Z</dcterms:created>
  <dcterms:modified xsi:type="dcterms:W3CDTF">2026-02-03T07:11:13Z</dcterms:modified>
</cp:coreProperties>
</file>