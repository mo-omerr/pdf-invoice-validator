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mmary" sheetId="2" state="visible" r:id="rId2"/>
    <sheet name="Invoice_1003639939" sheetId="3" state="visible" r:id="rId3"/>
    <sheet name="Invoice_1003584917" sheetId="4" state="visible" r:id="rId4"/>
    <sheet name="Invoice_1003547355" sheetId="5" state="visible" r:id="rId5"/>
    <sheet name="Invoice_1003508868" sheetId="6" state="visible" r:id="rId6"/>
    <sheet name="Invoice_1003477060" sheetId="7" state="visible" r:id="rId7"/>
    <sheet name="Invoice_1003432086" sheetId="8" state="visible" r:id="rId8"/>
    <sheet name="Invoice_1003398871" sheetId="9" state="visible" r:id="rId9"/>
    <sheet name="Invoice_1003357696" sheetId="10" state="visible" r:id="rId10"/>
    <sheet name="Invoice_100332067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FF0000"/>
    </font>
    <font>
      <color rgb="00FF0000"/>
    </font>
    <font>
      <b val="1"/>
      <sz val="2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9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7" fillId="0" borderId="1" pivotButton="0" quotePrefix="0" xfId="0"/>
    <xf numFmtId="164" fontId="3" fillId="0" borderId="1" pivotButton="0" quotePrefix="0" xfId="0"/>
    <xf numFmtId="0" fontId="4" fillId="2" borderId="1" pivotButton="0" quotePrefix="0" xfId="0"/>
    <xf numFmtId="164" fontId="0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Invoice Amounts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'Dashboard'!$A$13:$A$21</f>
            </numRef>
          </cat>
          <val>
            <numRef>
              <f>'Dashboard'!$B$13:$B$21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Invoice 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'Dashboard'!$E$13:$E$21</f>
            </numRef>
          </cat>
          <val>
            <numRef>
              <f>'Dashboard'!$B$13:$B$21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Cost Breakdown (Subtotal + Tax)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cat>
            <numRef>
              <f>'Dashboard'!$A$13:$A$21</f>
            </numRef>
          </cat>
          <val>
            <numRef>
              <f>'Dashboard'!$C$13:$C$21</f>
            </numRef>
          </val>
        </ser>
        <ser>
          <idx val="1"/>
          <order val="1"/>
          <tx>
            <strRef>
              <f>'Dashboard'!D12</f>
            </strRef>
          </tx>
          <spPr>
            <a:ln>
              <a:prstDash val="solid"/>
            </a:ln>
          </spPr>
          <cat>
            <numRef>
              <f>'Dashboard'!$A$13:$A$21</f>
            </numRef>
          </cat>
          <val>
            <numRef>
              <f>'Dashboard'!$D$13:$D$21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Amount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'Dashboard'!$E$13:$E$21</f>
            </numRef>
          </cat>
          <val>
            <numRef>
              <f>'Dashboard'!$B$13:$B$21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Invoice Amounts by Date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'Summary'!E11</f>
            </strRef>
          </tx>
          <spPr>
            <a:ln>
              <a:prstDash val="solid"/>
            </a:ln>
          </spPr>
          <cat>
            <numRef>
              <f>'Summary'!$B$12:$B$20</f>
            </numRef>
          </cat>
          <val>
            <numRef>
              <f>'Summary'!$E$12:$E$20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Subtotal vs Tax per Invoice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'Summary'!F11</f>
            </strRef>
          </tx>
          <spPr>
            <a:ln>
              <a:prstDash val="solid"/>
            </a:ln>
          </spPr>
          <cat>
            <numRef>
              <f>'Summary'!$A$12:$A$20</f>
            </numRef>
          </cat>
          <val>
            <numRef>
              <f>'Summary'!$F$12:$F$20</f>
            </numRef>
          </val>
        </ser>
        <ser>
          <idx val="1"/>
          <order val="1"/>
          <tx>
            <strRef>
              <f>'Summary'!G11</f>
            </strRef>
          </tx>
          <spPr>
            <a:ln>
              <a:prstDash val="solid"/>
            </a:ln>
          </spPr>
          <cat>
            <numRef>
              <f>'Summary'!$A$12:$A$20</f>
            </numRef>
          </cat>
          <val>
            <numRef>
              <f>'Summary'!$G$12:$G$20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Invoice 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'Summary'!$B$12:$B$20</f>
            </numRef>
          </cat>
          <val>
            <numRef>
              <f>'Summary'!$E$12:$E$20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'Summary'!$A$12:$A$20</f>
            </numRef>
          </cat>
          <val>
            <numRef>
              <f>'Summary'!$E$12:$E$20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36</row>
      <rowOff>0</rowOff>
    </from>
    <ext cx="50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46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INVOICE DASHBOARD</t>
        </is>
      </c>
    </row>
    <row r="3">
      <c r="A3" s="2" t="inlineStr">
        <is>
          <t>KEY METRICS</t>
        </is>
      </c>
    </row>
    <row r="5">
      <c r="A5" s="3" t="inlineStr">
        <is>
          <t>Total Invoices</t>
        </is>
      </c>
      <c r="B5" s="3" t="inlineStr">
        <is>
          <t>Total Amount</t>
        </is>
      </c>
      <c r="C5" s="3" t="inlineStr">
        <is>
          <t>Total Subtotal</t>
        </is>
      </c>
      <c r="D5" s="3" t="inlineStr">
        <is>
          <t>Total Tax</t>
        </is>
      </c>
    </row>
    <row r="6">
      <c r="A6" s="4" t="n">
        <v>9</v>
      </c>
      <c r="B6" s="4" t="inlineStr">
        <is>
          <t>$10,559.63</t>
        </is>
      </c>
      <c r="C6" s="4" t="inlineStr">
        <is>
          <t>$10,191.39</t>
        </is>
      </c>
      <c r="D6" s="4" t="inlineStr">
        <is>
          <t>$368.24</t>
        </is>
      </c>
    </row>
    <row r="8">
      <c r="A8" s="3" t="inlineStr">
        <is>
          <t>Average Invoice</t>
        </is>
      </c>
      <c r="B8" s="3" t="inlineStr">
        <is>
          <t>Highest Invoice</t>
        </is>
      </c>
      <c r="C8" s="3" t="inlineStr">
        <is>
          <t>Lowest Invoice</t>
        </is>
      </c>
      <c r="D8" s="3" t="inlineStr">
        <is>
          <t>Vendor</t>
        </is>
      </c>
    </row>
    <row r="9">
      <c r="A9" s="4" t="inlineStr">
        <is>
          <t>$1,173.29</t>
        </is>
      </c>
      <c r="B9" s="4" t="inlineStr">
        <is>
          <t>$1,914.59</t>
        </is>
      </c>
      <c r="C9" s="4" t="inlineStr">
        <is>
          <t>$1,046.71</t>
        </is>
      </c>
      <c r="D9" s="4" t="inlineStr">
        <is>
          <t>Waste Management National Services, Inc.</t>
        </is>
      </c>
    </row>
    <row r="12">
      <c r="A12" t="inlineStr">
        <is>
          <t>Date</t>
        </is>
      </c>
      <c r="B12" t="inlineStr">
        <is>
          <t>Amount</t>
        </is>
      </c>
      <c r="C12" t="inlineStr">
        <is>
          <t>Subtotal</t>
        </is>
      </c>
      <c r="D12" t="inlineStr">
        <is>
          <t>Tax</t>
        </is>
      </c>
      <c r="E12" t="inlineStr">
        <is>
          <t>Invoice #</t>
        </is>
      </c>
    </row>
    <row r="13">
      <c r="A13" t="inlineStr">
        <is>
          <t>10/20/2025</t>
        </is>
      </c>
      <c r="B13" t="n">
        <v>1132.57</v>
      </c>
      <c r="C13" t="n">
        <v>1093.96</v>
      </c>
      <c r="D13" t="n">
        <v>38.61</v>
      </c>
      <c r="E13" t="inlineStr">
        <is>
          <t>1003639939</t>
        </is>
      </c>
    </row>
    <row r="14">
      <c r="A14" t="inlineStr">
        <is>
          <t>09/15/2025</t>
        </is>
      </c>
      <c r="B14" t="n">
        <v>1046.71</v>
      </c>
      <c r="C14" t="n">
        <v>1012.96</v>
      </c>
      <c r="D14" t="n">
        <v>33.75</v>
      </c>
      <c r="E14" t="inlineStr">
        <is>
          <t>1003584917</t>
        </is>
      </c>
    </row>
    <row r="15">
      <c r="A15" t="inlineStr">
        <is>
          <t>08/14/2025</t>
        </is>
      </c>
      <c r="B15" t="n">
        <v>1120.91</v>
      </c>
      <c r="C15" t="n">
        <v>1082.96</v>
      </c>
      <c r="D15" t="n">
        <v>37.95</v>
      </c>
      <c r="E15" t="inlineStr">
        <is>
          <t>1003547355</t>
        </is>
      </c>
    </row>
    <row r="16">
      <c r="A16" t="inlineStr">
        <is>
          <t>07/15/2025</t>
        </is>
      </c>
      <c r="B16" t="n">
        <v>1046.71</v>
      </c>
      <c r="C16" t="n">
        <v>1012.96</v>
      </c>
      <c r="D16" t="n">
        <v>33.75</v>
      </c>
      <c r="E16" t="inlineStr">
        <is>
          <t>1003508868</t>
        </is>
      </c>
    </row>
    <row r="17">
      <c r="A17" t="inlineStr">
        <is>
          <t>06/17/2025</t>
        </is>
      </c>
      <c r="B17" t="n">
        <v>1046.71</v>
      </c>
      <c r="C17" t="n">
        <v>1012.96</v>
      </c>
      <c r="D17" t="n">
        <v>33.75</v>
      </c>
      <c r="E17" t="inlineStr">
        <is>
          <t>1003477060</t>
        </is>
      </c>
    </row>
    <row r="18">
      <c r="A18" t="inlineStr">
        <is>
          <t>05/15/2025</t>
        </is>
      </c>
      <c r="B18" t="n">
        <v>1083.81</v>
      </c>
      <c r="C18" t="n">
        <v>1047.96</v>
      </c>
      <c r="D18" t="n">
        <v>35.85</v>
      </c>
      <c r="E18" t="inlineStr">
        <is>
          <t>1003432086</t>
        </is>
      </c>
    </row>
    <row r="19">
      <c r="A19" t="inlineStr">
        <is>
          <t>04/16/2025</t>
        </is>
      </c>
      <c r="B19" t="n">
        <v>1083.81</v>
      </c>
      <c r="C19" t="n">
        <v>1047.96</v>
      </c>
      <c r="D19" t="n">
        <v>35.85</v>
      </c>
      <c r="E19" t="inlineStr">
        <is>
          <t>1003398871</t>
        </is>
      </c>
    </row>
    <row r="20">
      <c r="A20" t="inlineStr">
        <is>
          <t>03/13/2025</t>
        </is>
      </c>
      <c r="B20" t="n">
        <v>1083.81</v>
      </c>
      <c r="C20" t="n">
        <v>1047.96</v>
      </c>
      <c r="D20" t="n">
        <v>35.85</v>
      </c>
      <c r="E20" t="inlineStr">
        <is>
          <t>1003357696</t>
        </is>
      </c>
    </row>
    <row r="21">
      <c r="A21" t="inlineStr">
        <is>
          <t>02/14/2025</t>
        </is>
      </c>
      <c r="B21" t="n">
        <v>1914.59</v>
      </c>
      <c r="C21" t="n">
        <v>1831.71</v>
      </c>
      <c r="D21" t="n">
        <v>82.88</v>
      </c>
      <c r="E21" t="inlineStr">
        <is>
          <t>1003320679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Invoice Summary Report</t>
        </is>
      </c>
    </row>
    <row r="3">
      <c r="A3" s="6" t="inlineStr">
        <is>
          <t>Source PDF:</t>
        </is>
      </c>
      <c r="B3" t="inlineStr">
        <is>
          <t>Ashton_at_Judiciary_Square_Luxury_Apartments.pdf</t>
        </is>
      </c>
    </row>
    <row r="4">
      <c r="A4" s="6" t="inlineStr">
        <is>
          <t>Template Used:</t>
        </is>
      </c>
      <c r="B4" t="inlineStr">
        <is>
          <t>Waste Management National Services, Inc.</t>
        </is>
      </c>
    </row>
    <row r="5">
      <c r="A5" s="6" t="inlineStr">
        <is>
          <t>Template Created:</t>
        </is>
      </c>
      <c r="B5" t="inlineStr">
        <is>
          <t>Yes</t>
        </is>
      </c>
    </row>
    <row r="6">
      <c r="A6" s="6" t="inlineStr">
        <is>
          <t>Total Pages:</t>
        </is>
      </c>
      <c r="B6" t="n">
        <v>18</v>
      </c>
    </row>
    <row r="7">
      <c r="A7" s="6" t="inlineStr">
        <is>
          <t>Invoices Found:</t>
        </is>
      </c>
      <c r="B7" t="n">
        <v>9</v>
      </c>
    </row>
    <row r="8">
      <c r="A8" s="6" t="inlineStr">
        <is>
          <t>Valid Invoices:</t>
        </is>
      </c>
      <c r="B8" t="n">
        <v>0</v>
      </c>
    </row>
    <row r="9">
      <c r="A9" s="6" t="inlineStr">
        <is>
          <t>Invalid Invoices:</t>
        </is>
      </c>
      <c r="B9" t="n">
        <v>9</v>
      </c>
    </row>
    <row r="11">
      <c r="A11" s="7" t="inlineStr">
        <is>
          <t>Invoice #</t>
        </is>
      </c>
      <c r="B11" s="7" t="inlineStr">
        <is>
          <t>Date of Issue</t>
        </is>
      </c>
      <c r="C11" s="7" t="inlineStr">
        <is>
          <t>Due Date</t>
        </is>
      </c>
      <c r="D11" s="7" t="inlineStr">
        <is>
          <t>Billed To</t>
        </is>
      </c>
      <c r="E11" s="7" t="inlineStr">
        <is>
          <t>Amount Due</t>
        </is>
      </c>
      <c r="F11" s="7" t="inlineStr">
        <is>
          <t>Subtotal</t>
        </is>
      </c>
      <c r="G11" s="7" t="inlineStr">
        <is>
          <t>Tax</t>
        </is>
      </c>
      <c r="H11" s="7" t="inlineStr">
        <is>
          <t>Status</t>
        </is>
      </c>
    </row>
    <row r="12">
      <c r="A12" s="8" t="inlineStr">
        <is>
          <t>1003639939</t>
        </is>
      </c>
      <c r="B12" s="8" t="inlineStr">
        <is>
          <t>10/20/2025</t>
        </is>
      </c>
      <c r="C12" s="8" t="n"/>
      <c r="D12" s="8" t="inlineStr">
        <is>
          <t>Ashton at Judiciary Square</t>
        </is>
      </c>
      <c r="E12" s="9" t="n">
        <v>1132.57</v>
      </c>
      <c r="F12" s="9" t="n">
        <v>1093.96</v>
      </c>
      <c r="G12" s="9" t="n">
        <v>38.61</v>
      </c>
      <c r="H12" s="10" t="inlineStr">
        <is>
          <t>INVALID</t>
        </is>
      </c>
    </row>
    <row r="13">
      <c r="A13" s="8" t="inlineStr">
        <is>
          <t>1003584917</t>
        </is>
      </c>
      <c r="B13" s="8" t="inlineStr">
        <is>
          <t>09/15/2025</t>
        </is>
      </c>
      <c r="C13" s="8" t="n"/>
      <c r="D13" s="8" t="inlineStr">
        <is>
          <t>Ashton at Judiciary Square</t>
        </is>
      </c>
      <c r="E13" s="9" t="n">
        <v>1046.71</v>
      </c>
      <c r="F13" s="9" t="n">
        <v>1012.96</v>
      </c>
      <c r="G13" s="9" t="n">
        <v>33.75</v>
      </c>
      <c r="H13" s="10" t="inlineStr">
        <is>
          <t>INVALID</t>
        </is>
      </c>
    </row>
    <row r="14">
      <c r="A14" s="8" t="inlineStr">
        <is>
          <t>1003547355</t>
        </is>
      </c>
      <c r="B14" s="8" t="inlineStr">
        <is>
          <t>08/14/2025</t>
        </is>
      </c>
      <c r="C14" s="8" t="n"/>
      <c r="D14" s="8" t="inlineStr">
        <is>
          <t>Ashton at Judiciary Square</t>
        </is>
      </c>
      <c r="E14" s="9" t="n">
        <v>1120.91</v>
      </c>
      <c r="F14" s="9" t="n">
        <v>1082.96</v>
      </c>
      <c r="G14" s="9" t="n">
        <v>37.95</v>
      </c>
      <c r="H14" s="10" t="inlineStr">
        <is>
          <t>INVALID</t>
        </is>
      </c>
    </row>
    <row r="15">
      <c r="A15" s="8" t="inlineStr">
        <is>
          <t>1003508868</t>
        </is>
      </c>
      <c r="B15" s="8" t="inlineStr">
        <is>
          <t>07/15/2025</t>
        </is>
      </c>
      <c r="C15" s="8" t="n"/>
      <c r="D15" s="8" t="inlineStr">
        <is>
          <t>Ashton at Judiciary Square</t>
        </is>
      </c>
      <c r="E15" s="9" t="n">
        <v>1046.71</v>
      </c>
      <c r="F15" s="9" t="n">
        <v>1012.96</v>
      </c>
      <c r="G15" s="9" t="n">
        <v>33.75</v>
      </c>
      <c r="H15" s="10" t="inlineStr">
        <is>
          <t>INVALID</t>
        </is>
      </c>
    </row>
    <row r="16">
      <c r="A16" s="8" t="inlineStr">
        <is>
          <t>1003477060</t>
        </is>
      </c>
      <c r="B16" s="8" t="inlineStr">
        <is>
          <t>06/17/2025</t>
        </is>
      </c>
      <c r="C16" s="8" t="n"/>
      <c r="D16" s="8" t="inlineStr">
        <is>
          <t>Ashton at Judiciary Square</t>
        </is>
      </c>
      <c r="E16" s="9" t="n">
        <v>1046.71</v>
      </c>
      <c r="F16" s="9" t="n">
        <v>1012.96</v>
      </c>
      <c r="G16" s="9" t="n">
        <v>33.75</v>
      </c>
      <c r="H16" s="10" t="inlineStr">
        <is>
          <t>INVALID</t>
        </is>
      </c>
    </row>
    <row r="17">
      <c r="A17" s="8" t="inlineStr">
        <is>
          <t>1003432086</t>
        </is>
      </c>
      <c r="B17" s="8" t="inlineStr">
        <is>
          <t>05/15/2025</t>
        </is>
      </c>
      <c r="C17" s="8" t="n"/>
      <c r="D17" s="8" t="inlineStr">
        <is>
          <t>Ashton at Judiciary Square</t>
        </is>
      </c>
      <c r="E17" s="9" t="n">
        <v>1083.81</v>
      </c>
      <c r="F17" s="9" t="n">
        <v>1047.96</v>
      </c>
      <c r="G17" s="9" t="n">
        <v>35.85</v>
      </c>
      <c r="H17" s="10" t="inlineStr">
        <is>
          <t>INVALID</t>
        </is>
      </c>
    </row>
    <row r="18">
      <c r="A18" s="8" t="inlineStr">
        <is>
          <t>1003398871</t>
        </is>
      </c>
      <c r="B18" s="8" t="inlineStr">
        <is>
          <t>04/16/2025</t>
        </is>
      </c>
      <c r="C18" s="8" t="n"/>
      <c r="D18" s="8" t="inlineStr">
        <is>
          <t>Ashton at Judiciary Square</t>
        </is>
      </c>
      <c r="E18" s="9" t="n">
        <v>1083.81</v>
      </c>
      <c r="F18" s="9" t="n">
        <v>1047.96</v>
      </c>
      <c r="G18" s="9" t="n">
        <v>35.85</v>
      </c>
      <c r="H18" s="10" t="inlineStr">
        <is>
          <t>INVALID</t>
        </is>
      </c>
    </row>
    <row r="19">
      <c r="A19" s="8" t="inlineStr">
        <is>
          <t>1003357696</t>
        </is>
      </c>
      <c r="B19" s="8" t="inlineStr">
        <is>
          <t>03/13/2025</t>
        </is>
      </c>
      <c r="C19" s="8" t="n"/>
      <c r="D19" s="8" t="inlineStr">
        <is>
          <t>Ashton at Judiciary Square</t>
        </is>
      </c>
      <c r="E19" s="9" t="n">
        <v>1083.81</v>
      </c>
      <c r="F19" s="9" t="n">
        <v>1047.96</v>
      </c>
      <c r="G19" s="9" t="n">
        <v>35.85</v>
      </c>
      <c r="H19" s="10" t="inlineStr">
        <is>
          <t>INVALID</t>
        </is>
      </c>
    </row>
    <row r="20">
      <c r="A20" s="8" t="inlineStr">
        <is>
          <t>1003320679</t>
        </is>
      </c>
      <c r="B20" s="8" t="inlineStr">
        <is>
          <t>02/14/2025</t>
        </is>
      </c>
      <c r="C20" s="8" t="n"/>
      <c r="D20" s="8" t="inlineStr">
        <is>
          <t>Ashton at Judiciary Square</t>
        </is>
      </c>
      <c r="E20" s="9" t="n">
        <v>1914.59</v>
      </c>
      <c r="F20" s="9" t="n">
        <v>1831.71</v>
      </c>
      <c r="G20" s="9" t="n">
        <v>82.88</v>
      </c>
      <c r="H20" s="10" t="inlineStr">
        <is>
          <t>INVALID</t>
        </is>
      </c>
    </row>
    <row r="21">
      <c r="D21" s="6" t="inlineStr">
        <is>
          <t>TOTALS:</t>
        </is>
      </c>
      <c r="E21" s="11" t="n">
        <v>10559.63</v>
      </c>
      <c r="F21" s="11" t="n">
        <v>10191.39</v>
      </c>
      <c r="G21" s="11" t="n">
        <v>368.24</v>
      </c>
    </row>
    <row r="24">
      <c r="A24" s="2" t="inlineStr">
        <is>
          <t>Invoice Amount Trend</t>
        </is>
      </c>
      <c r="J24" s="2" t="inlineStr">
        <is>
          <t>Subtotal vs Tax Breakdown</t>
        </is>
      </c>
    </row>
    <row r="46">
      <c r="A46" s="2" t="inlineStr">
        <is>
          <t>Amount Trend Over Time</t>
        </is>
      </c>
      <c r="J46" s="2" t="inlineStr">
        <is>
          <t>Cost Distribution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#1003639939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1003639939</t>
        </is>
      </c>
    </row>
    <row r="5">
      <c r="A5" s="6" t="inlineStr">
        <is>
          <t>Date of Issue</t>
        </is>
      </c>
      <c r="B5" t="inlineStr">
        <is>
          <t>10/20/2025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Co-Mingle Pickup 96 Gallons Toter Weekly x2 Permanent</t>
        </is>
      </c>
      <c r="B15" s="9" t="n">
        <v>141.33</v>
      </c>
      <c r="C15" s="8" t="n">
        <v>2</v>
      </c>
      <c r="D15" s="9" t="n">
        <v>282.66</v>
      </c>
    </row>
    <row r="16">
      <c r="A16" s="8" t="inlineStr">
        <is>
          <t>Trash Pickup 2 Yards Compactor Weekly x3 Permanent</t>
        </is>
      </c>
      <c r="B16" s="9" t="n">
        <v>187.51</v>
      </c>
      <c r="C16" s="8" t="n">
        <v>3</v>
      </c>
      <c r="D16" s="9" t="n">
        <v>562.53</v>
      </c>
    </row>
    <row r="17">
      <c r="A17" s="8" t="inlineStr">
        <is>
          <t>Single Stream Recycling Pickup 2 Yards Dumpster - Rear Load Weekly x2 Permanent</t>
        </is>
      </c>
      <c r="B17" s="9" t="n">
        <v>83.89</v>
      </c>
      <c r="C17" s="8" t="n">
        <v>2</v>
      </c>
      <c r="D17" s="9" t="n">
        <v>167.77</v>
      </c>
    </row>
    <row r="18">
      <c r="A18" s="8" t="inlineStr">
        <is>
          <t>Co-Mingle Contamination 66132343 96 Gallons Toter Weekly x2 Permanent</t>
        </is>
      </c>
      <c r="B18" s="9" t="n">
        <v>5.5</v>
      </c>
      <c r="C18" s="8" t="n">
        <v>2</v>
      </c>
      <c r="D18" s="9" t="n">
        <v>11</v>
      </c>
    </row>
    <row r="19">
      <c r="A19" s="8" t="inlineStr">
        <is>
          <t>Single Stream Recycling Excess Yards 66541785 2 Yards Dumpster - Rear Load Weekly x2 Permanent</t>
        </is>
      </c>
      <c r="B19" s="9" t="n">
        <v>17.5</v>
      </c>
      <c r="C19" s="8" t="n">
        <v>2</v>
      </c>
      <c r="D19" s="9" t="n">
        <v>35</v>
      </c>
    </row>
    <row r="20">
      <c r="A20" s="8" t="inlineStr">
        <is>
          <t>Single Stream Recycling Excess Yards 66854542 2 Yards Dumpster - Rear Load Weekly x2 Permanent</t>
        </is>
      </c>
      <c r="B20" s="9" t="n">
        <v>17.5</v>
      </c>
      <c r="C20" s="8" t="n">
        <v>2</v>
      </c>
      <c r="D20" s="9" t="n">
        <v>35</v>
      </c>
    </row>
    <row r="22">
      <c r="A22" s="2" t="inlineStr">
        <is>
          <t>TOTALS</t>
        </is>
      </c>
    </row>
    <row r="23">
      <c r="A23" s="6" t="inlineStr">
        <is>
          <t>Subtotal</t>
        </is>
      </c>
      <c r="B23" s="13" t="n">
        <v>1093.96</v>
      </c>
    </row>
    <row r="24">
      <c r="A24" s="6" t="inlineStr">
        <is>
          <t>Tax</t>
        </is>
      </c>
      <c r="B24" s="13" t="n">
        <v>38.61</v>
      </c>
    </row>
    <row r="25">
      <c r="A25" s="6" t="inlineStr">
        <is>
          <t>Total</t>
        </is>
      </c>
      <c r="B25" s="13" t="n">
        <v>1132.57</v>
      </c>
    </row>
    <row r="26">
      <c r="A26" s="6" t="inlineStr">
        <is>
          <t>Amount Paid</t>
        </is>
      </c>
      <c r="B26" s="13" t="n">
        <v>0</v>
      </c>
    </row>
    <row r="27">
      <c r="A27" s="6" t="inlineStr">
        <is>
          <t>Amount Due</t>
        </is>
      </c>
      <c r="B27" s="14" t="n">
        <v>1132.57</v>
      </c>
    </row>
    <row r="29">
      <c r="A29" s="2" t="inlineStr">
        <is>
          <t>VALIDATION STATUS</t>
        </is>
      </c>
    </row>
    <row r="30">
      <c r="A30" s="6" t="inlineStr">
        <is>
          <t>Status:</t>
        </is>
      </c>
      <c r="B30" s="15" t="inlineStr">
        <is>
          <t>INVALID</t>
        </is>
      </c>
    </row>
    <row r="31">
      <c r="A31" s="15" t="inlineStr">
        <is>
          <t>Errors:</t>
        </is>
      </c>
    </row>
    <row r="32">
      <c r="A32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#1003584917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1003584917</t>
        </is>
      </c>
    </row>
    <row r="5">
      <c r="A5" s="6" t="inlineStr">
        <is>
          <t>Date of Issue</t>
        </is>
      </c>
      <c r="B5" t="inlineStr">
        <is>
          <t>09/15/2025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Co-Mingle Pickup 96 Gallons Toter Weekly x2 Permanent</t>
        </is>
      </c>
      <c r="B15" s="9" t="n">
        <v>141.33</v>
      </c>
      <c r="C15" s="8" t="n">
        <v>2</v>
      </c>
      <c r="D15" s="9" t="n">
        <v>282.66</v>
      </c>
    </row>
    <row r="16">
      <c r="A16" s="8" t="inlineStr">
        <is>
          <t>Trash Pickup 2 Yards Compactor Weekly x3 Permanent</t>
        </is>
      </c>
      <c r="B16" s="9" t="n">
        <v>187.51</v>
      </c>
      <c r="C16" s="8" t="n">
        <v>3</v>
      </c>
      <c r="D16" s="9" t="n">
        <v>562.53</v>
      </c>
    </row>
    <row r="17">
      <c r="A17" s="8" t="inlineStr">
        <is>
          <t>Single Stream Recycling Pickup 2 Yards Dumpster - Rear Load Weekly x2 Permanent</t>
        </is>
      </c>
      <c r="B17" s="9" t="n">
        <v>83.89</v>
      </c>
      <c r="C17" s="8" t="n">
        <v>2</v>
      </c>
      <c r="D17" s="9" t="n">
        <v>167.77</v>
      </c>
    </row>
    <row r="19">
      <c r="A19" s="2" t="inlineStr">
        <is>
          <t>TOTALS</t>
        </is>
      </c>
    </row>
    <row r="20">
      <c r="A20" s="6" t="inlineStr">
        <is>
          <t>Subtotal</t>
        </is>
      </c>
      <c r="B20" s="13" t="n">
        <v>1012.96</v>
      </c>
    </row>
    <row r="21">
      <c r="A21" s="6" t="inlineStr">
        <is>
          <t>Tax</t>
        </is>
      </c>
      <c r="B21" s="13" t="n">
        <v>33.75</v>
      </c>
    </row>
    <row r="22">
      <c r="A22" s="6" t="inlineStr">
        <is>
          <t>Total</t>
        </is>
      </c>
      <c r="B22" s="13" t="n">
        <v>1046.71</v>
      </c>
    </row>
    <row r="23">
      <c r="A23" s="6" t="inlineStr">
        <is>
          <t>Amount Paid</t>
        </is>
      </c>
      <c r="B23" s="13" t="n">
        <v>0</v>
      </c>
    </row>
    <row r="24">
      <c r="A24" s="6" t="inlineStr">
        <is>
          <t>Amount Due</t>
        </is>
      </c>
      <c r="B24" s="14" t="n">
        <v>1046.71</v>
      </c>
    </row>
    <row r="26">
      <c r="A26" s="2" t="inlineStr">
        <is>
          <t>VALIDATION STATUS</t>
        </is>
      </c>
    </row>
    <row r="27">
      <c r="A27" s="6" t="inlineStr">
        <is>
          <t>Status:</t>
        </is>
      </c>
      <c r="B27" s="15" t="inlineStr">
        <is>
          <t>INVALID</t>
        </is>
      </c>
    </row>
    <row r="28">
      <c r="A28" s="15" t="inlineStr">
        <is>
          <t>Errors:</t>
        </is>
      </c>
    </row>
    <row r="29">
      <c r="A29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#1003547355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1003547355</t>
        </is>
      </c>
    </row>
    <row r="5">
      <c r="A5" s="6" t="inlineStr">
        <is>
          <t>Date of Issue</t>
        </is>
      </c>
      <c r="B5" t="inlineStr">
        <is>
          <t>08/14/2025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Co-Mingle Pickup 96 Gallons Toter Weekly x2 Permanent</t>
        </is>
      </c>
      <c r="B15" s="9" t="n">
        <v>141.33</v>
      </c>
      <c r="C15" s="8" t="n">
        <v>2</v>
      </c>
      <c r="D15" s="9" t="n">
        <v>282.66</v>
      </c>
    </row>
    <row r="16">
      <c r="A16" s="8" t="inlineStr">
        <is>
          <t>Trash Pickup 2 Yards Compactor Weekly x3 Permanent</t>
        </is>
      </c>
      <c r="B16" s="9" t="n">
        <v>187.51</v>
      </c>
      <c r="C16" s="8" t="n">
        <v>3</v>
      </c>
      <c r="D16" s="9" t="n">
        <v>562.53</v>
      </c>
    </row>
    <row r="17">
      <c r="A17" s="8" t="inlineStr">
        <is>
          <t>Single Stream Recycling Pickup 2 Yards Dumpster - Rear Load Weekly x2 Permanent</t>
        </is>
      </c>
      <c r="B17" s="9" t="n">
        <v>83.89</v>
      </c>
      <c r="C17" s="8" t="n">
        <v>2</v>
      </c>
      <c r="D17" s="9" t="n">
        <v>167.77</v>
      </c>
    </row>
    <row r="18">
      <c r="A18" s="8" t="inlineStr">
        <is>
          <t>Single Stream Recycling Excess Yards 64547636 2 Yards Dumpster - Rear Load Weekly x2 Permanent</t>
        </is>
      </c>
      <c r="B18" s="9" t="n">
        <v>17.5</v>
      </c>
      <c r="C18" s="8" t="n">
        <v>2</v>
      </c>
      <c r="D18" s="9" t="n">
        <v>35</v>
      </c>
    </row>
    <row r="19">
      <c r="A19" s="8" t="inlineStr">
        <is>
          <t>Single Stream Recycling Excess Yards 64788675 2 Yards Dumpster - Rear Load Weekly x2 Permanent</t>
        </is>
      </c>
      <c r="B19" s="9" t="n">
        <v>17.5</v>
      </c>
      <c r="C19" s="8" t="n">
        <v>2</v>
      </c>
      <c r="D19" s="9" t="n">
        <v>35</v>
      </c>
    </row>
    <row r="21">
      <c r="A21" s="2" t="inlineStr">
        <is>
          <t>TOTALS</t>
        </is>
      </c>
    </row>
    <row r="22">
      <c r="A22" s="6" t="inlineStr">
        <is>
          <t>Subtotal</t>
        </is>
      </c>
      <c r="B22" s="13" t="n">
        <v>1082.96</v>
      </c>
    </row>
    <row r="23">
      <c r="A23" s="6" t="inlineStr">
        <is>
          <t>Tax</t>
        </is>
      </c>
      <c r="B23" s="13" t="n">
        <v>37.95</v>
      </c>
    </row>
    <row r="24">
      <c r="A24" s="6" t="inlineStr">
        <is>
          <t>Total</t>
        </is>
      </c>
      <c r="B24" s="13" t="n">
        <v>1120.91</v>
      </c>
    </row>
    <row r="25">
      <c r="A25" s="6" t="inlineStr">
        <is>
          <t>Amount Paid</t>
        </is>
      </c>
      <c r="B25" s="13" t="n">
        <v>0</v>
      </c>
    </row>
    <row r="26">
      <c r="A26" s="6" t="inlineStr">
        <is>
          <t>Amount Due</t>
        </is>
      </c>
      <c r="B26" s="14" t="n">
        <v>1120.91</v>
      </c>
    </row>
    <row r="28">
      <c r="A28" s="2" t="inlineStr">
        <is>
          <t>VALIDATION STATUS</t>
        </is>
      </c>
    </row>
    <row r="29">
      <c r="A29" s="6" t="inlineStr">
        <is>
          <t>Status:</t>
        </is>
      </c>
      <c r="B29" s="15" t="inlineStr">
        <is>
          <t>INVALID</t>
        </is>
      </c>
    </row>
    <row r="30">
      <c r="A30" s="15" t="inlineStr">
        <is>
          <t>Errors:</t>
        </is>
      </c>
    </row>
    <row r="31">
      <c r="A31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#1003508868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1003508868</t>
        </is>
      </c>
    </row>
    <row r="5">
      <c r="A5" s="6" t="inlineStr">
        <is>
          <t>Date of Issue</t>
        </is>
      </c>
      <c r="B5" t="inlineStr">
        <is>
          <t>07/15/2025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Co-Mingle Pickup 96 Gallons Toter Weekly x2 Permanent</t>
        </is>
      </c>
      <c r="B15" s="9" t="n">
        <v>141.33</v>
      </c>
      <c r="C15" s="8" t="n">
        <v>2</v>
      </c>
      <c r="D15" s="9" t="n">
        <v>282.66</v>
      </c>
    </row>
    <row r="16">
      <c r="A16" s="8" t="inlineStr">
        <is>
          <t>Trash Pickup 2 Yards Compactor Weekly x3 Permanent</t>
        </is>
      </c>
      <c r="B16" s="9" t="n">
        <v>187.51</v>
      </c>
      <c r="C16" s="8" t="n">
        <v>3</v>
      </c>
      <c r="D16" s="9" t="n">
        <v>562.53</v>
      </c>
    </row>
    <row r="17">
      <c r="A17" s="8" t="inlineStr">
        <is>
          <t>Single Stream Recycling Pickup 2 Yards Dumpster - Rear Load Weekly x2 Permanent</t>
        </is>
      </c>
      <c r="B17" s="9" t="n">
        <v>83.89</v>
      </c>
      <c r="C17" s="8" t="n">
        <v>2</v>
      </c>
      <c r="D17" s="9" t="n">
        <v>167.77</v>
      </c>
    </row>
    <row r="19">
      <c r="A19" s="2" t="inlineStr">
        <is>
          <t>TOTALS</t>
        </is>
      </c>
    </row>
    <row r="20">
      <c r="A20" s="6" t="inlineStr">
        <is>
          <t>Subtotal</t>
        </is>
      </c>
      <c r="B20" s="13" t="n">
        <v>1012.96</v>
      </c>
    </row>
    <row r="21">
      <c r="A21" s="6" t="inlineStr">
        <is>
          <t>Tax</t>
        </is>
      </c>
      <c r="B21" s="13" t="n">
        <v>33.75</v>
      </c>
    </row>
    <row r="22">
      <c r="A22" s="6" t="inlineStr">
        <is>
          <t>Total</t>
        </is>
      </c>
      <c r="B22" s="13" t="n">
        <v>1046.71</v>
      </c>
    </row>
    <row r="23">
      <c r="A23" s="6" t="inlineStr">
        <is>
          <t>Amount Paid</t>
        </is>
      </c>
      <c r="B23" s="13" t="n">
        <v>0</v>
      </c>
    </row>
    <row r="24">
      <c r="A24" s="6" t="inlineStr">
        <is>
          <t>Amount Due</t>
        </is>
      </c>
      <c r="B24" s="14" t="n">
        <v>1046.71</v>
      </c>
    </row>
    <row r="26">
      <c r="A26" s="2" t="inlineStr">
        <is>
          <t>VALIDATION STATUS</t>
        </is>
      </c>
    </row>
    <row r="27">
      <c r="A27" s="6" t="inlineStr">
        <is>
          <t>Status:</t>
        </is>
      </c>
      <c r="B27" s="15" t="inlineStr">
        <is>
          <t>INVALID</t>
        </is>
      </c>
    </row>
    <row r="28">
      <c r="A28" s="15" t="inlineStr">
        <is>
          <t>Errors:</t>
        </is>
      </c>
    </row>
    <row r="29">
      <c r="A29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#1003477060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1003477060</t>
        </is>
      </c>
    </row>
    <row r="5">
      <c r="A5" s="6" t="inlineStr">
        <is>
          <t>Date of Issue</t>
        </is>
      </c>
      <c r="B5" t="inlineStr">
        <is>
          <t>06/17/2025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Co-Mingle Pickup 96 Gallons Toter Weekly x2 Permanent</t>
        </is>
      </c>
      <c r="B15" s="9" t="n">
        <v>141.33</v>
      </c>
      <c r="C15" s="8" t="n">
        <v>2</v>
      </c>
      <c r="D15" s="9" t="n">
        <v>282.66</v>
      </c>
    </row>
    <row r="16">
      <c r="A16" s="8" t="inlineStr">
        <is>
          <t>Trash Pickup 2 Yards Compactor Weekly x3 Permanent</t>
        </is>
      </c>
      <c r="B16" s="9" t="n">
        <v>187.51</v>
      </c>
      <c r="C16" s="8" t="n">
        <v>3</v>
      </c>
      <c r="D16" s="9" t="n">
        <v>562.53</v>
      </c>
    </row>
    <row r="17">
      <c r="A17" s="8" t="inlineStr">
        <is>
          <t>Single Stream Recycling Pickup 2 Yards Dumpster - Rear Load Weekly x2 Permanent</t>
        </is>
      </c>
      <c r="B17" s="9" t="n">
        <v>83.89</v>
      </c>
      <c r="C17" s="8" t="n">
        <v>2</v>
      </c>
      <c r="D17" s="9" t="n">
        <v>167.77</v>
      </c>
    </row>
    <row r="19">
      <c r="A19" s="2" t="inlineStr">
        <is>
          <t>TOTALS</t>
        </is>
      </c>
    </row>
    <row r="20">
      <c r="A20" s="6" t="inlineStr">
        <is>
          <t>Subtotal</t>
        </is>
      </c>
      <c r="B20" s="13" t="n">
        <v>1012.96</v>
      </c>
    </row>
    <row r="21">
      <c r="A21" s="6" t="inlineStr">
        <is>
          <t>Tax</t>
        </is>
      </c>
      <c r="B21" s="13" t="n">
        <v>33.75</v>
      </c>
    </row>
    <row r="22">
      <c r="A22" s="6" t="inlineStr">
        <is>
          <t>Total</t>
        </is>
      </c>
      <c r="B22" s="13" t="n">
        <v>1046.71</v>
      </c>
    </row>
    <row r="23">
      <c r="A23" s="6" t="inlineStr">
        <is>
          <t>Amount Paid</t>
        </is>
      </c>
      <c r="B23" s="13" t="n">
        <v>0</v>
      </c>
    </row>
    <row r="24">
      <c r="A24" s="6" t="inlineStr">
        <is>
          <t>Amount Due</t>
        </is>
      </c>
      <c r="B24" s="14" t="n">
        <v>1046.71</v>
      </c>
    </row>
    <row r="26">
      <c r="A26" s="2" t="inlineStr">
        <is>
          <t>VALIDATION STATUS</t>
        </is>
      </c>
    </row>
    <row r="27">
      <c r="A27" s="6" t="inlineStr">
        <is>
          <t>Status:</t>
        </is>
      </c>
      <c r="B27" s="15" t="inlineStr">
        <is>
          <t>INVALID</t>
        </is>
      </c>
    </row>
    <row r="28">
      <c r="A28" s="15" t="inlineStr">
        <is>
          <t>Errors:</t>
        </is>
      </c>
    </row>
    <row r="29">
      <c r="A29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#1003432086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1003432086</t>
        </is>
      </c>
    </row>
    <row r="5">
      <c r="A5" s="6" t="inlineStr">
        <is>
          <t>Date of Issue</t>
        </is>
      </c>
      <c r="B5" t="inlineStr">
        <is>
          <t>05/15/2025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Co-Mingle Excess Yards Overage 96 Gallons Toter service #60368716 Weekly x2 Permanent</t>
        </is>
      </c>
      <c r="B15" s="9" t="n">
        <v>17.5</v>
      </c>
      <c r="C15" s="8" t="n">
        <v>2</v>
      </c>
      <c r="D15" s="9" t="n">
        <v>35</v>
      </c>
    </row>
    <row r="16">
      <c r="A16" s="8" t="inlineStr">
        <is>
          <t>Co-Mingle Pickup 96 Gallons Toter Weekly x2 Permanent</t>
        </is>
      </c>
      <c r="B16" s="9" t="n">
        <v>141.33</v>
      </c>
      <c r="C16" s="8" t="n">
        <v>2</v>
      </c>
      <c r="D16" s="9" t="n">
        <v>282.66</v>
      </c>
    </row>
    <row r="17">
      <c r="A17" s="8" t="inlineStr">
        <is>
          <t>Trash Pickup 2 Yards Compactor Weekly x3 Permanent</t>
        </is>
      </c>
      <c r="B17" s="9" t="n">
        <v>187.51</v>
      </c>
      <c r="C17" s="8" t="n">
        <v>3</v>
      </c>
      <c r="D17" s="9" t="n">
        <v>562.53</v>
      </c>
    </row>
    <row r="18">
      <c r="A18" s="8" t="inlineStr">
        <is>
          <t>Single Stream Recycling Pickup 2 Yards Dumpster - Rear Load Weekly x2 Permanent</t>
        </is>
      </c>
      <c r="B18" s="9" t="n">
        <v>83.89</v>
      </c>
      <c r="C18" s="8" t="n">
        <v>2</v>
      </c>
      <c r="D18" s="9" t="n">
        <v>167.77</v>
      </c>
    </row>
    <row r="20">
      <c r="A20" s="2" t="inlineStr">
        <is>
          <t>TOTALS</t>
        </is>
      </c>
    </row>
    <row r="21">
      <c r="A21" s="6" t="inlineStr">
        <is>
          <t>Subtotal</t>
        </is>
      </c>
      <c r="B21" s="13" t="n">
        <v>1047.96</v>
      </c>
    </row>
    <row r="22">
      <c r="A22" s="6" t="inlineStr">
        <is>
          <t>Tax</t>
        </is>
      </c>
      <c r="B22" s="13" t="n">
        <v>35.85</v>
      </c>
    </row>
    <row r="23">
      <c r="A23" s="6" t="inlineStr">
        <is>
          <t>Total</t>
        </is>
      </c>
      <c r="B23" s="13" t="n">
        <v>1083.81</v>
      </c>
    </row>
    <row r="24">
      <c r="A24" s="6" t="inlineStr">
        <is>
          <t>Amount Paid</t>
        </is>
      </c>
      <c r="B24" s="13" t="n">
        <v>0</v>
      </c>
    </row>
    <row r="25">
      <c r="A25" s="6" t="inlineStr">
        <is>
          <t>Amount Due</t>
        </is>
      </c>
      <c r="B25" s="14" t="n">
        <v>1083.81</v>
      </c>
    </row>
    <row r="27">
      <c r="A27" s="2" t="inlineStr">
        <is>
          <t>VALIDATION STATUS</t>
        </is>
      </c>
    </row>
    <row r="28">
      <c r="A28" s="6" t="inlineStr">
        <is>
          <t>Status:</t>
        </is>
      </c>
      <c r="B28" s="15" t="inlineStr">
        <is>
          <t>INVALID</t>
        </is>
      </c>
    </row>
    <row r="29">
      <c r="A29" s="15" t="inlineStr">
        <is>
          <t>Errors:</t>
        </is>
      </c>
    </row>
    <row r="30">
      <c r="A30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#1003398871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1003398871</t>
        </is>
      </c>
    </row>
    <row r="5">
      <c r="A5" s="6" t="inlineStr">
        <is>
          <t>Date of Issue</t>
        </is>
      </c>
      <c r="B5" t="inlineStr">
        <is>
          <t>04/16/2025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Co-Mingle Pickup 96 Gallons Toter Weekly x2 Permanent</t>
        </is>
      </c>
      <c r="B15" s="9" t="n">
        <v>141.33</v>
      </c>
      <c r="C15" s="8" t="n">
        <v>2</v>
      </c>
      <c r="D15" s="9" t="n">
        <v>282.66</v>
      </c>
    </row>
    <row r="16">
      <c r="A16" s="8" t="inlineStr">
        <is>
          <t>Trash Pickup 2 Yards Compactor Weekly x3 Permanent</t>
        </is>
      </c>
      <c r="B16" s="9" t="n">
        <v>187.51</v>
      </c>
      <c r="C16" s="8" t="n">
        <v>3</v>
      </c>
      <c r="D16" s="9" t="n">
        <v>562.53</v>
      </c>
    </row>
    <row r="17">
      <c r="A17" s="8" t="inlineStr">
        <is>
          <t>Single Stream Recycling Pickup 2 Yards Dumpster - Rear Load Weekly x2 Permanent</t>
        </is>
      </c>
      <c r="B17" s="9" t="n">
        <v>83.89</v>
      </c>
      <c r="C17" s="8" t="n">
        <v>2</v>
      </c>
      <c r="D17" s="9" t="n">
        <v>167.77</v>
      </c>
    </row>
    <row r="18">
      <c r="A18" s="8" t="inlineStr">
        <is>
          <t>Single Stream Recycling Excess Yards 60218424 2 Yards Dumpster - Rear Load Weekly x2 Permanent</t>
        </is>
      </c>
      <c r="B18" s="9" t="n">
        <v>17.5</v>
      </c>
      <c r="C18" s="8" t="n">
        <v>2</v>
      </c>
      <c r="D18" s="9" t="n">
        <v>35</v>
      </c>
    </row>
    <row r="20">
      <c r="A20" s="2" t="inlineStr">
        <is>
          <t>TOTALS</t>
        </is>
      </c>
    </row>
    <row r="21">
      <c r="A21" s="6" t="inlineStr">
        <is>
          <t>Subtotal</t>
        </is>
      </c>
      <c r="B21" s="13" t="n">
        <v>1047.96</v>
      </c>
    </row>
    <row r="22">
      <c r="A22" s="6" t="inlineStr">
        <is>
          <t>Tax</t>
        </is>
      </c>
      <c r="B22" s="13" t="n">
        <v>35.85</v>
      </c>
    </row>
    <row r="23">
      <c r="A23" s="6" t="inlineStr">
        <is>
          <t>Total</t>
        </is>
      </c>
      <c r="B23" s="13" t="n">
        <v>1083.81</v>
      </c>
    </row>
    <row r="24">
      <c r="A24" s="6" t="inlineStr">
        <is>
          <t>Amount Paid</t>
        </is>
      </c>
      <c r="B24" s="13" t="n">
        <v>0</v>
      </c>
    </row>
    <row r="25">
      <c r="A25" s="6" t="inlineStr">
        <is>
          <t>Amount Due</t>
        </is>
      </c>
      <c r="B25" s="14" t="n">
        <v>1083.81</v>
      </c>
    </row>
    <row r="27">
      <c r="A27" s="2" t="inlineStr">
        <is>
          <t>VALIDATION STATUS</t>
        </is>
      </c>
    </row>
    <row r="28">
      <c r="A28" s="6" t="inlineStr">
        <is>
          <t>Status:</t>
        </is>
      </c>
      <c r="B28" s="15" t="inlineStr">
        <is>
          <t>INVALID</t>
        </is>
      </c>
    </row>
    <row r="29">
      <c r="A29" s="15" t="inlineStr">
        <is>
          <t>Errors:</t>
        </is>
      </c>
    </row>
    <row r="30">
      <c r="A30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#1003357696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1003357696</t>
        </is>
      </c>
    </row>
    <row r="5">
      <c r="A5" s="6" t="inlineStr">
        <is>
          <t>Date of Issue</t>
        </is>
      </c>
      <c r="B5" t="inlineStr">
        <is>
          <t>03/13/2025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Co-Mingle Pickup 96 Gallons Toter Weekly x2 Permanent</t>
        </is>
      </c>
      <c r="B15" s="9" t="n">
        <v>141.33</v>
      </c>
      <c r="C15" s="8" t="n">
        <v>2</v>
      </c>
      <c r="D15" s="9" t="n">
        <v>282.66</v>
      </c>
    </row>
    <row r="16">
      <c r="A16" s="8" t="inlineStr">
        <is>
          <t>Trash Pickup 2 Yards Compactor Weekly x3 Permanent</t>
        </is>
      </c>
      <c r="B16" s="9" t="n">
        <v>187.51</v>
      </c>
      <c r="C16" s="8" t="n">
        <v>3</v>
      </c>
      <c r="D16" s="9" t="n">
        <v>562.53</v>
      </c>
    </row>
    <row r="17">
      <c r="A17" s="8" t="inlineStr">
        <is>
          <t>Single Stream Recycling Pickup 2 Yards Dumpster - Rear Load Weekly x2 Permanent</t>
        </is>
      </c>
      <c r="B17" s="9" t="n">
        <v>83.89</v>
      </c>
      <c r="C17" s="8" t="n">
        <v>2</v>
      </c>
      <c r="D17" s="9" t="n">
        <v>167.77</v>
      </c>
    </row>
    <row r="18">
      <c r="A18" s="8" t="inlineStr">
        <is>
          <t>Single Stream Recycling Excess Yards 59939044 2 Yards Dumpster - Rear Load Weekly x2 Permanent</t>
        </is>
      </c>
      <c r="B18" s="9" t="n">
        <v>17.5</v>
      </c>
      <c r="C18" s="8" t="n">
        <v>2</v>
      </c>
      <c r="D18" s="9" t="n">
        <v>35</v>
      </c>
    </row>
    <row r="20">
      <c r="A20" s="2" t="inlineStr">
        <is>
          <t>TOTALS</t>
        </is>
      </c>
    </row>
    <row r="21">
      <c r="A21" s="6" t="inlineStr">
        <is>
          <t>Subtotal</t>
        </is>
      </c>
      <c r="B21" s="13" t="n">
        <v>1047.96</v>
      </c>
    </row>
    <row r="22">
      <c r="A22" s="6" t="inlineStr">
        <is>
          <t>Tax</t>
        </is>
      </c>
      <c r="B22" s="13" t="n">
        <v>35.85</v>
      </c>
    </row>
    <row r="23">
      <c r="A23" s="6" t="inlineStr">
        <is>
          <t>Total</t>
        </is>
      </c>
      <c r="B23" s="13" t="n">
        <v>1083.81</v>
      </c>
    </row>
    <row r="24">
      <c r="A24" s="6" t="inlineStr">
        <is>
          <t>Amount Paid</t>
        </is>
      </c>
      <c r="B24" s="13" t="n">
        <v>0</v>
      </c>
    </row>
    <row r="25">
      <c r="A25" s="6" t="inlineStr">
        <is>
          <t>Amount Due</t>
        </is>
      </c>
      <c r="B25" s="14" t="n">
        <v>1083.81</v>
      </c>
    </row>
    <row r="27">
      <c r="A27" s="2" t="inlineStr">
        <is>
          <t>VALIDATION STATUS</t>
        </is>
      </c>
    </row>
    <row r="28">
      <c r="A28" s="6" t="inlineStr">
        <is>
          <t>Status:</t>
        </is>
      </c>
      <c r="B28" s="15" t="inlineStr">
        <is>
          <t>INVALID</t>
        </is>
      </c>
    </row>
    <row r="29">
      <c r="A29" s="15" t="inlineStr">
        <is>
          <t>Errors:</t>
        </is>
      </c>
    </row>
    <row r="30">
      <c r="A30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#1003320679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1003320679</t>
        </is>
      </c>
    </row>
    <row r="5">
      <c r="A5" s="6" t="inlineStr">
        <is>
          <t>Date of Issue</t>
        </is>
      </c>
      <c r="B5" t="inlineStr">
        <is>
          <t>02/14/2025</t>
        </is>
      </c>
    </row>
    <row r="6">
      <c r="A6" s="6" t="inlineStr">
        <is>
          <t>Due Date</t>
        </is>
      </c>
    </row>
    <row r="7">
      <c r="A7" s="6" t="inlineStr">
        <is>
          <t>Billed To</t>
        </is>
      </c>
      <c r="B7" t="inlineStr">
        <is>
          <t>Ashton at Judiciary Square</t>
        </is>
      </c>
    </row>
    <row r="8">
      <c r="A8" s="6" t="inlineStr">
        <is>
          <t>Email</t>
        </is>
      </c>
    </row>
    <row r="9">
      <c r="A9" s="6" t="inlineStr">
        <is>
          <t>Address</t>
        </is>
      </c>
      <c r="B9" t="inlineStr">
        <is>
          <t>750 3rd Street NW, WASHINGTON, DC 20001</t>
        </is>
      </c>
    </row>
    <row r="10">
      <c r="A10" s="6" t="inlineStr">
        <is>
          <t>Workers</t>
        </is>
      </c>
    </row>
    <row r="11">
      <c r="A11" s="6" t="inlineStr">
        <is>
          <t>Pictures Link</t>
        </is>
      </c>
    </row>
    <row r="13">
      <c r="A13" s="2" t="inlineStr">
        <is>
          <t>LINE ITEMS</t>
        </is>
      </c>
    </row>
    <row r="14">
      <c r="A14" s="12" t="inlineStr">
        <is>
          <t>Description</t>
        </is>
      </c>
      <c r="B14" s="12" t="inlineStr">
        <is>
          <t>Rate</t>
        </is>
      </c>
      <c r="C14" s="12" t="inlineStr">
        <is>
          <t>Qty</t>
        </is>
      </c>
      <c r="D14" s="12" t="inlineStr">
        <is>
          <t>Line Total</t>
        </is>
      </c>
    </row>
    <row r="15">
      <c r="A15" s="8" t="inlineStr">
        <is>
          <t>Equipment Repair - P23897139-29886415</t>
        </is>
      </c>
      <c r="B15" s="9" t="n">
        <v>818.75</v>
      </c>
      <c r="C15" s="8" t="n">
        <v>1</v>
      </c>
      <c r="D15" s="9" t="n">
        <v>818.75</v>
      </c>
    </row>
    <row r="16">
      <c r="A16" s="8" t="inlineStr">
        <is>
          <t>Co-Mingle Pickup 96 Gallons Toter Weekly x2 Permanent</t>
        </is>
      </c>
      <c r="B16" s="9" t="n">
        <v>141.33</v>
      </c>
      <c r="C16" s="8" t="n">
        <v>2</v>
      </c>
      <c r="D16" s="9" t="n">
        <v>282.66</v>
      </c>
    </row>
    <row r="17">
      <c r="A17" s="8" t="inlineStr">
        <is>
          <t>Trash Pickup 2 Yards Compactor Weekly x3 Permanent</t>
        </is>
      </c>
      <c r="B17" s="9" t="n">
        <v>187.51</v>
      </c>
      <c r="C17" s="8" t="n">
        <v>3</v>
      </c>
      <c r="D17" s="9" t="n">
        <v>562.53</v>
      </c>
    </row>
    <row r="18">
      <c r="A18" s="8" t="inlineStr">
        <is>
          <t>Single Stream Recycling Pickup 2 Yards Dumpster - Rear Load Weekly x2 Permanent</t>
        </is>
      </c>
      <c r="B18" s="9" t="n">
        <v>83.89</v>
      </c>
      <c r="C18" s="8" t="n">
        <v>2</v>
      </c>
      <c r="D18" s="9" t="n">
        <v>167.77</v>
      </c>
    </row>
    <row r="20">
      <c r="A20" s="2" t="inlineStr">
        <is>
          <t>TOTALS</t>
        </is>
      </c>
    </row>
    <row r="21">
      <c r="A21" s="6" t="inlineStr">
        <is>
          <t>Subtotal</t>
        </is>
      </c>
      <c r="B21" s="13" t="n">
        <v>1831.71</v>
      </c>
    </row>
    <row r="22">
      <c r="A22" s="6" t="inlineStr">
        <is>
          <t>Tax</t>
        </is>
      </c>
      <c r="B22" s="13" t="n">
        <v>82.88</v>
      </c>
    </row>
    <row r="23">
      <c r="A23" s="6" t="inlineStr">
        <is>
          <t>Total</t>
        </is>
      </c>
      <c r="B23" s="13" t="n">
        <v>1914.59</v>
      </c>
    </row>
    <row r="24">
      <c r="A24" s="6" t="inlineStr">
        <is>
          <t>Amount Paid</t>
        </is>
      </c>
      <c r="B24" s="13" t="n">
        <v>0</v>
      </c>
    </row>
    <row r="25">
      <c r="A25" s="6" t="inlineStr">
        <is>
          <t>Amount Due</t>
        </is>
      </c>
      <c r="B25" s="14" t="n">
        <v>1914.59</v>
      </c>
    </row>
    <row r="27">
      <c r="A27" s="2" t="inlineStr">
        <is>
          <t>VALIDATION STATUS</t>
        </is>
      </c>
    </row>
    <row r="28">
      <c r="A28" s="6" t="inlineStr">
        <is>
          <t>Status:</t>
        </is>
      </c>
      <c r="B28" s="15" t="inlineStr">
        <is>
          <t>INVALID</t>
        </is>
      </c>
    </row>
    <row r="29">
      <c r="A29" s="15" t="inlineStr">
        <is>
          <t>Errors:</t>
        </is>
      </c>
    </row>
    <row r="30">
      <c r="A30" s="16" t="inlineStr">
        <is>
          <t xml:space="preserve">  - Missing required field: due_date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2026-02-03T07:12:12Z</dcterms:created>
  <dcterms:modified xsi:type="dcterms:W3CDTF">2026-02-03T07:12:12Z</dcterms:modified>
</cp:coreProperties>
</file>